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0" documentId="11_A9DFB6C73783FC7E50EFF49F62C14249F9E17B0B" xr6:coauthVersionLast="47" xr6:coauthVersionMax="47" xr10:uidLastSave="{00000000-0000-0000-0000-000000000000}"/>
  <bookViews>
    <workbookView xWindow="3550" yWindow="2490" windowWidth="13430" windowHeight="7270" activeTab="1" xr2:uid="{00000000-000D-0000-FFFF-FFFF00000000}"/>
  </bookViews>
  <sheets>
    <sheet name="月末請求一覧" sheetId="1" r:id="rId1"/>
    <sheet name="請求書" sheetId="2" r:id="rId2"/>
  </sheets>
  <definedNames>
    <definedName name="_xlnm.Print_Area" localSheetId="1">請求書!$A$1:$F$24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H183" i="1"/>
  <c r="F183" i="1"/>
  <c r="J183" i="1" s="1"/>
  <c r="K183" i="1" s="1"/>
  <c r="A183" i="1"/>
  <c r="O183" i="1" s="1"/>
  <c r="I182" i="1"/>
  <c r="H182" i="1"/>
  <c r="F182" i="1"/>
  <c r="J182" i="1" s="1"/>
  <c r="K182" i="1" s="1"/>
  <c r="A182" i="1"/>
  <c r="O182" i="1" s="1"/>
  <c r="I181" i="1"/>
  <c r="H181" i="1"/>
  <c r="F181" i="1"/>
  <c r="J181" i="1" s="1"/>
  <c r="K181" i="1" s="1"/>
  <c r="A181" i="1"/>
  <c r="O181" i="1" s="1"/>
  <c r="I180" i="1"/>
  <c r="H180" i="1"/>
  <c r="F180" i="1"/>
  <c r="J180" i="1" s="1"/>
  <c r="K180" i="1" s="1"/>
  <c r="A180" i="1"/>
  <c r="O180" i="1" s="1"/>
  <c r="I179" i="1"/>
  <c r="H179" i="1"/>
  <c r="F179" i="1"/>
  <c r="J179" i="1" s="1"/>
  <c r="K179" i="1" s="1"/>
  <c r="A179" i="1"/>
  <c r="O179" i="1" s="1"/>
  <c r="I178" i="1"/>
  <c r="H178" i="1"/>
  <c r="F178" i="1"/>
  <c r="J178" i="1" s="1"/>
  <c r="K178" i="1" s="1"/>
  <c r="A178" i="1"/>
  <c r="O178" i="1" s="1"/>
  <c r="I177" i="1"/>
  <c r="H177" i="1"/>
  <c r="F177" i="1"/>
  <c r="J177" i="1" s="1"/>
  <c r="K177" i="1" s="1"/>
  <c r="A177" i="1"/>
  <c r="O177" i="1" s="1"/>
  <c r="I176" i="1"/>
  <c r="H176" i="1"/>
  <c r="F176" i="1"/>
  <c r="J176" i="1" s="1"/>
  <c r="K176" i="1" s="1"/>
  <c r="A176" i="1"/>
  <c r="O176" i="1" s="1"/>
  <c r="I175" i="1"/>
  <c r="H175" i="1"/>
  <c r="F175" i="1"/>
  <c r="J175" i="1" s="1"/>
  <c r="K175" i="1" s="1"/>
  <c r="A175" i="1"/>
  <c r="O175" i="1" s="1"/>
  <c r="I174" i="1"/>
  <c r="H174" i="1"/>
  <c r="F174" i="1"/>
  <c r="J174" i="1" s="1"/>
  <c r="K174" i="1" s="1"/>
  <c r="A174" i="1"/>
  <c r="O174" i="1" s="1"/>
  <c r="I173" i="1"/>
  <c r="H173" i="1"/>
  <c r="F173" i="1"/>
  <c r="J173" i="1" s="1"/>
  <c r="K173" i="1" s="1"/>
  <c r="A173" i="1"/>
  <c r="O173" i="1" s="1"/>
  <c r="I172" i="1"/>
  <c r="H172" i="1"/>
  <c r="F172" i="1"/>
  <c r="J172" i="1" s="1"/>
  <c r="K172" i="1" s="1"/>
  <c r="A172" i="1"/>
  <c r="O172" i="1" s="1"/>
  <c r="I171" i="1"/>
  <c r="H171" i="1"/>
  <c r="F171" i="1"/>
  <c r="J171" i="1" s="1"/>
  <c r="K171" i="1" s="1"/>
  <c r="A171" i="1"/>
  <c r="O171" i="1" s="1"/>
  <c r="I170" i="1"/>
  <c r="H170" i="1"/>
  <c r="F170" i="1"/>
  <c r="J170" i="1" s="1"/>
  <c r="K170" i="1" s="1"/>
  <c r="A170" i="1"/>
  <c r="O170" i="1" s="1"/>
  <c r="I169" i="1"/>
  <c r="H169" i="1"/>
  <c r="F169" i="1"/>
  <c r="J169" i="1" s="1"/>
  <c r="K169" i="1" s="1"/>
  <c r="A169" i="1"/>
  <c r="O169" i="1" s="1"/>
  <c r="I168" i="1"/>
  <c r="H168" i="1"/>
  <c r="F168" i="1"/>
  <c r="J168" i="1" s="1"/>
  <c r="K168" i="1" s="1"/>
  <c r="A168" i="1"/>
  <c r="O168" i="1" s="1"/>
  <c r="I167" i="1"/>
  <c r="H167" i="1"/>
  <c r="F167" i="1"/>
  <c r="J167" i="1" s="1"/>
  <c r="K167" i="1" s="1"/>
  <c r="A167" i="1"/>
  <c r="O167" i="1" s="1"/>
  <c r="I166" i="1"/>
  <c r="H166" i="1"/>
  <c r="F166" i="1"/>
  <c r="J166" i="1" s="1"/>
  <c r="K166" i="1" s="1"/>
  <c r="A166" i="1"/>
  <c r="O166" i="1" s="1"/>
  <c r="I165" i="1"/>
  <c r="H165" i="1"/>
  <c r="F165" i="1"/>
  <c r="J165" i="1" s="1"/>
  <c r="K165" i="1" s="1"/>
  <c r="A165" i="1"/>
  <c r="O165" i="1" s="1"/>
  <c r="I164" i="1"/>
  <c r="H164" i="1"/>
  <c r="F164" i="1"/>
  <c r="J164" i="1" s="1"/>
  <c r="K164" i="1" s="1"/>
  <c r="A164" i="1"/>
  <c r="O164" i="1" s="1"/>
  <c r="I163" i="1"/>
  <c r="H163" i="1"/>
  <c r="F163" i="1"/>
  <c r="J163" i="1" s="1"/>
  <c r="K163" i="1" s="1"/>
  <c r="A163" i="1"/>
  <c r="O163" i="1" s="1"/>
  <c r="I162" i="1"/>
  <c r="H162" i="1"/>
  <c r="F162" i="1"/>
  <c r="J162" i="1" s="1"/>
  <c r="K162" i="1" s="1"/>
  <c r="A162" i="1"/>
  <c r="O162" i="1" s="1"/>
  <c r="I161" i="1"/>
  <c r="H161" i="1"/>
  <c r="F161" i="1"/>
  <c r="J161" i="1" s="1"/>
  <c r="K161" i="1" s="1"/>
  <c r="A161" i="1"/>
  <c r="O161" i="1" s="1"/>
  <c r="I160" i="1"/>
  <c r="H160" i="1"/>
  <c r="F160" i="1"/>
  <c r="J160" i="1" s="1"/>
  <c r="K160" i="1" s="1"/>
  <c r="A160" i="1"/>
  <c r="O160" i="1" s="1"/>
  <c r="I159" i="1"/>
  <c r="H159" i="1"/>
  <c r="F159" i="1"/>
  <c r="J159" i="1" s="1"/>
  <c r="K159" i="1" s="1"/>
  <c r="A159" i="1"/>
  <c r="O159" i="1" s="1"/>
  <c r="I158" i="1"/>
  <c r="H158" i="1"/>
  <c r="F158" i="1"/>
  <c r="J158" i="1" s="1"/>
  <c r="K158" i="1" s="1"/>
  <c r="A158" i="1"/>
  <c r="O158" i="1" s="1"/>
  <c r="I157" i="1"/>
  <c r="H157" i="1"/>
  <c r="F157" i="1"/>
  <c r="J157" i="1" s="1"/>
  <c r="K157" i="1" s="1"/>
  <c r="A157" i="1"/>
  <c r="O157" i="1" s="1"/>
  <c r="I156" i="1"/>
  <c r="H156" i="1"/>
  <c r="F156" i="1"/>
  <c r="J156" i="1" s="1"/>
  <c r="K156" i="1" s="1"/>
  <c r="A156" i="1"/>
  <c r="O156" i="1" s="1"/>
  <c r="I155" i="1"/>
  <c r="H155" i="1"/>
  <c r="F155" i="1"/>
  <c r="J155" i="1" s="1"/>
  <c r="K155" i="1" s="1"/>
  <c r="A155" i="1"/>
  <c r="O155" i="1" s="1"/>
  <c r="I154" i="1"/>
  <c r="H154" i="1"/>
  <c r="F154" i="1"/>
  <c r="J154" i="1" s="1"/>
  <c r="K154" i="1" s="1"/>
  <c r="A154" i="1"/>
  <c r="O154" i="1" s="1"/>
  <c r="I153" i="1"/>
  <c r="H153" i="1"/>
  <c r="F153" i="1"/>
  <c r="J153" i="1" s="1"/>
  <c r="K153" i="1" s="1"/>
  <c r="A153" i="1"/>
  <c r="O153" i="1" s="1"/>
  <c r="I152" i="1"/>
  <c r="H152" i="1"/>
  <c r="F152" i="1"/>
  <c r="J152" i="1" s="1"/>
  <c r="K152" i="1" s="1"/>
  <c r="A152" i="1"/>
  <c r="O152" i="1" s="1"/>
  <c r="I151" i="1"/>
  <c r="H151" i="1"/>
  <c r="F151" i="1"/>
  <c r="J151" i="1" s="1"/>
  <c r="K151" i="1" s="1"/>
  <c r="A151" i="1"/>
  <c r="O151" i="1" s="1"/>
  <c r="I150" i="1"/>
  <c r="H150" i="1"/>
  <c r="F150" i="1"/>
  <c r="J150" i="1" s="1"/>
  <c r="K150" i="1" s="1"/>
  <c r="A150" i="1"/>
  <c r="O150" i="1" s="1"/>
  <c r="I149" i="1"/>
  <c r="H149" i="1"/>
  <c r="F149" i="1"/>
  <c r="J149" i="1" s="1"/>
  <c r="K149" i="1" s="1"/>
  <c r="A149" i="1"/>
  <c r="O149" i="1" s="1"/>
  <c r="I148" i="1"/>
  <c r="H148" i="1"/>
  <c r="F148" i="1"/>
  <c r="J148" i="1" s="1"/>
  <c r="K148" i="1" s="1"/>
  <c r="A148" i="1"/>
  <c r="O148" i="1" s="1"/>
  <c r="I147" i="1"/>
  <c r="H147" i="1"/>
  <c r="F147" i="1"/>
  <c r="J147" i="1" s="1"/>
  <c r="K147" i="1" s="1"/>
  <c r="A147" i="1"/>
  <c r="O147" i="1" s="1"/>
  <c r="I146" i="1"/>
  <c r="H146" i="1"/>
  <c r="F146" i="1"/>
  <c r="J146" i="1" s="1"/>
  <c r="K146" i="1" s="1"/>
  <c r="A146" i="1"/>
  <c r="O146" i="1" s="1"/>
  <c r="I145" i="1"/>
  <c r="H145" i="1"/>
  <c r="F145" i="1"/>
  <c r="J145" i="1" s="1"/>
  <c r="K145" i="1" s="1"/>
  <c r="A145" i="1"/>
  <c r="O145" i="1" s="1"/>
  <c r="I144" i="1"/>
  <c r="H144" i="1"/>
  <c r="F144" i="1"/>
  <c r="J144" i="1" s="1"/>
  <c r="K144" i="1" s="1"/>
  <c r="A144" i="1"/>
  <c r="O144" i="1" s="1"/>
  <c r="I143" i="1"/>
  <c r="H143" i="1"/>
  <c r="F143" i="1"/>
  <c r="J143" i="1" s="1"/>
  <c r="K143" i="1" s="1"/>
  <c r="A143" i="1"/>
  <c r="O143" i="1" s="1"/>
  <c r="I142" i="1"/>
  <c r="H142" i="1"/>
  <c r="F142" i="1"/>
  <c r="J142" i="1" s="1"/>
  <c r="K142" i="1" s="1"/>
  <c r="A142" i="1"/>
  <c r="O142" i="1" s="1"/>
  <c r="I141" i="1"/>
  <c r="H141" i="1"/>
  <c r="F141" i="1"/>
  <c r="J141" i="1" s="1"/>
  <c r="K141" i="1" s="1"/>
  <c r="A141" i="1"/>
  <c r="O141" i="1" s="1"/>
  <c r="I140" i="1"/>
  <c r="H140" i="1"/>
  <c r="F140" i="1"/>
  <c r="J140" i="1" s="1"/>
  <c r="K140" i="1" s="1"/>
  <c r="A140" i="1"/>
  <c r="O140" i="1" s="1"/>
  <c r="I139" i="1"/>
  <c r="H139" i="1"/>
  <c r="F139" i="1"/>
  <c r="J139" i="1" s="1"/>
  <c r="K139" i="1" s="1"/>
  <c r="A139" i="1"/>
  <c r="O139" i="1" s="1"/>
  <c r="I138" i="1"/>
  <c r="H138" i="1"/>
  <c r="F138" i="1"/>
  <c r="J138" i="1" s="1"/>
  <c r="K138" i="1" s="1"/>
  <c r="A138" i="1"/>
  <c r="O138" i="1" s="1"/>
  <c r="I137" i="1"/>
  <c r="H137" i="1"/>
  <c r="F137" i="1"/>
  <c r="J137" i="1" s="1"/>
  <c r="K137" i="1" s="1"/>
  <c r="A137" i="1"/>
  <c r="O137" i="1" s="1"/>
  <c r="I136" i="1"/>
  <c r="H136" i="1"/>
  <c r="F136" i="1"/>
  <c r="J136" i="1" s="1"/>
  <c r="K136" i="1" s="1"/>
  <c r="A136" i="1"/>
  <c r="O136" i="1" s="1"/>
  <c r="I135" i="1"/>
  <c r="H135" i="1"/>
  <c r="F135" i="1"/>
  <c r="J135" i="1" s="1"/>
  <c r="K135" i="1" s="1"/>
  <c r="A135" i="1"/>
  <c r="O135" i="1" s="1"/>
  <c r="I134" i="1"/>
  <c r="H134" i="1"/>
  <c r="F134" i="1"/>
  <c r="J134" i="1" s="1"/>
  <c r="K134" i="1" s="1"/>
  <c r="A134" i="1"/>
  <c r="O134" i="1" s="1"/>
  <c r="I133" i="1"/>
  <c r="H133" i="1"/>
  <c r="F133" i="1"/>
  <c r="J133" i="1" s="1"/>
  <c r="K133" i="1" s="1"/>
  <c r="A133" i="1"/>
  <c r="O133" i="1" s="1"/>
  <c r="I132" i="1"/>
  <c r="H132" i="1"/>
  <c r="F132" i="1"/>
  <c r="J132" i="1" s="1"/>
  <c r="K132" i="1" s="1"/>
  <c r="A132" i="1"/>
  <c r="O132" i="1" s="1"/>
  <c r="I131" i="1"/>
  <c r="H131" i="1"/>
  <c r="F131" i="1"/>
  <c r="J131" i="1" s="1"/>
  <c r="K131" i="1" s="1"/>
  <c r="A131" i="1"/>
  <c r="O131" i="1" s="1"/>
  <c r="I130" i="1"/>
  <c r="H130" i="1"/>
  <c r="F130" i="1"/>
  <c r="J130" i="1" s="1"/>
  <c r="K130" i="1" s="1"/>
  <c r="A130" i="1"/>
  <c r="O130" i="1" s="1"/>
  <c r="I129" i="1"/>
  <c r="H129" i="1"/>
  <c r="F129" i="1"/>
  <c r="J129" i="1" s="1"/>
  <c r="K129" i="1" s="1"/>
  <c r="A129" i="1"/>
  <c r="O129" i="1" s="1"/>
  <c r="I128" i="1"/>
  <c r="H128" i="1"/>
  <c r="F128" i="1"/>
  <c r="J128" i="1" s="1"/>
  <c r="K128" i="1" s="1"/>
  <c r="A128" i="1"/>
  <c r="O128" i="1" s="1"/>
  <c r="I127" i="1"/>
  <c r="H127" i="1"/>
  <c r="F127" i="1"/>
  <c r="J127" i="1" s="1"/>
  <c r="K127" i="1" s="1"/>
  <c r="A127" i="1"/>
  <c r="O127" i="1" s="1"/>
  <c r="I126" i="1"/>
  <c r="H126" i="1"/>
  <c r="F126" i="1"/>
  <c r="J126" i="1" s="1"/>
  <c r="K126" i="1" s="1"/>
  <c r="A126" i="1"/>
  <c r="O126" i="1" s="1"/>
  <c r="I125" i="1"/>
  <c r="H125" i="1"/>
  <c r="F125" i="1"/>
  <c r="J125" i="1" s="1"/>
  <c r="K125" i="1" s="1"/>
  <c r="A125" i="1"/>
  <c r="O125" i="1" s="1"/>
  <c r="I124" i="1"/>
  <c r="H124" i="1"/>
  <c r="F124" i="1"/>
  <c r="J124" i="1" s="1"/>
  <c r="K124" i="1" s="1"/>
  <c r="A124" i="1"/>
  <c r="O124" i="1" s="1"/>
  <c r="I123" i="1"/>
  <c r="H123" i="1"/>
  <c r="F123" i="1"/>
  <c r="J123" i="1" s="1"/>
  <c r="K123" i="1" s="1"/>
  <c r="A123" i="1"/>
  <c r="O123" i="1" s="1"/>
  <c r="I122" i="1"/>
  <c r="H122" i="1"/>
  <c r="F122" i="1"/>
  <c r="J122" i="1" s="1"/>
  <c r="K122" i="1" s="1"/>
  <c r="A122" i="1"/>
  <c r="O122" i="1" s="1"/>
  <c r="I121" i="1"/>
  <c r="H121" i="1"/>
  <c r="F121" i="1"/>
  <c r="J121" i="1" s="1"/>
  <c r="K121" i="1" s="1"/>
  <c r="A121" i="1"/>
  <c r="O121" i="1" s="1"/>
  <c r="I120" i="1"/>
  <c r="H120" i="1"/>
  <c r="F120" i="1"/>
  <c r="J120" i="1" s="1"/>
  <c r="K120" i="1" s="1"/>
  <c r="A120" i="1"/>
  <c r="O120" i="1" s="1"/>
  <c r="I119" i="1"/>
  <c r="H119" i="1"/>
  <c r="F119" i="1"/>
  <c r="A119" i="1"/>
  <c r="O119" i="1" s="1"/>
  <c r="I118" i="1"/>
  <c r="H118" i="1"/>
  <c r="F118" i="1"/>
  <c r="J118" i="1" s="1"/>
  <c r="K118" i="1" s="1"/>
  <c r="A118" i="1"/>
  <c r="O118" i="1" s="1"/>
  <c r="I117" i="1"/>
  <c r="H117" i="1"/>
  <c r="F117" i="1"/>
  <c r="A117" i="1"/>
  <c r="O117" i="1" s="1"/>
  <c r="I116" i="1"/>
  <c r="H116" i="1"/>
  <c r="F116" i="1"/>
  <c r="J116" i="1" s="1"/>
  <c r="A116" i="1"/>
  <c r="O116" i="1" s="1"/>
  <c r="I115" i="1"/>
  <c r="H115" i="1"/>
  <c r="F115" i="1"/>
  <c r="A115" i="1"/>
  <c r="O115" i="1" s="1"/>
  <c r="I114" i="1"/>
  <c r="H114" i="1"/>
  <c r="F114" i="1"/>
  <c r="A114" i="1"/>
  <c r="O114" i="1" s="1"/>
  <c r="I113" i="1"/>
  <c r="H113" i="1"/>
  <c r="F113" i="1"/>
  <c r="J113" i="1" s="1"/>
  <c r="A113" i="1"/>
  <c r="O113" i="1" s="1"/>
  <c r="O112" i="1"/>
  <c r="I112" i="1"/>
  <c r="H112" i="1"/>
  <c r="F112" i="1"/>
  <c r="J112" i="1" s="1"/>
  <c r="A112" i="1"/>
  <c r="O111" i="1"/>
  <c r="I111" i="1"/>
  <c r="H111" i="1"/>
  <c r="F111" i="1"/>
  <c r="J111" i="1" s="1"/>
  <c r="K111" i="1" s="1"/>
  <c r="A111" i="1"/>
  <c r="O110" i="1"/>
  <c r="I110" i="1"/>
  <c r="H110" i="1"/>
  <c r="F110" i="1"/>
  <c r="J110" i="1" s="1"/>
  <c r="K110" i="1" s="1"/>
  <c r="A110" i="1"/>
  <c r="N109" i="1"/>
  <c r="I109" i="1"/>
  <c r="H109" i="1"/>
  <c r="F109" i="1"/>
  <c r="J109" i="1" s="1"/>
  <c r="K109" i="1" s="1"/>
  <c r="A109" i="1"/>
  <c r="O109" i="1" s="1"/>
  <c r="I108" i="1"/>
  <c r="H108" i="1"/>
  <c r="F108" i="1"/>
  <c r="J108" i="1" s="1"/>
  <c r="A108" i="1"/>
  <c r="O108" i="1" s="1"/>
  <c r="O107" i="1"/>
  <c r="J107" i="1"/>
  <c r="K107" i="1" s="1"/>
  <c r="I107" i="1"/>
  <c r="H107" i="1"/>
  <c r="F107" i="1"/>
  <c r="A107" i="1"/>
  <c r="O106" i="1"/>
  <c r="I106" i="1"/>
  <c r="H106" i="1"/>
  <c r="F106" i="1"/>
  <c r="A106" i="1"/>
  <c r="O105" i="1"/>
  <c r="I105" i="1"/>
  <c r="H105" i="1"/>
  <c r="F105" i="1"/>
  <c r="A105" i="1"/>
  <c r="J104" i="1"/>
  <c r="I104" i="1"/>
  <c r="H104" i="1"/>
  <c r="F104" i="1"/>
  <c r="A104" i="1"/>
  <c r="O104" i="1" s="1"/>
  <c r="O103" i="1"/>
  <c r="I103" i="1"/>
  <c r="H103" i="1"/>
  <c r="F103" i="1"/>
  <c r="A103" i="1"/>
  <c r="O102" i="1"/>
  <c r="I102" i="1"/>
  <c r="H102" i="1"/>
  <c r="F102" i="1"/>
  <c r="A102" i="1"/>
  <c r="I101" i="1"/>
  <c r="H101" i="1"/>
  <c r="F101" i="1"/>
  <c r="A101" i="1"/>
  <c r="O101" i="1" s="1"/>
  <c r="I100" i="1"/>
  <c r="H100" i="1"/>
  <c r="F100" i="1"/>
  <c r="J100" i="1" s="1"/>
  <c r="K100" i="1" s="1"/>
  <c r="A100" i="1"/>
  <c r="O100" i="1" s="1"/>
  <c r="O99" i="1"/>
  <c r="J99" i="1"/>
  <c r="I99" i="1"/>
  <c r="H99" i="1"/>
  <c r="F99" i="1"/>
  <c r="A99" i="1"/>
  <c r="O98" i="1"/>
  <c r="N98" i="1"/>
  <c r="I98" i="1"/>
  <c r="H98" i="1"/>
  <c r="J98" i="1" s="1"/>
  <c r="K98" i="1" s="1"/>
  <c r="F98" i="1"/>
  <c r="A98" i="1"/>
  <c r="O97" i="1"/>
  <c r="J97" i="1"/>
  <c r="K97" i="1" s="1"/>
  <c r="I97" i="1"/>
  <c r="H97" i="1"/>
  <c r="F97" i="1"/>
  <c r="A97" i="1"/>
  <c r="J96" i="1"/>
  <c r="I96" i="1"/>
  <c r="H96" i="1"/>
  <c r="F96" i="1"/>
  <c r="A96" i="1"/>
  <c r="O96" i="1" s="1"/>
  <c r="I95" i="1"/>
  <c r="H95" i="1"/>
  <c r="F95" i="1"/>
  <c r="A95" i="1"/>
  <c r="O95" i="1" s="1"/>
  <c r="O94" i="1"/>
  <c r="I94" i="1"/>
  <c r="H94" i="1"/>
  <c r="F94" i="1"/>
  <c r="A94" i="1"/>
  <c r="I93" i="1"/>
  <c r="H93" i="1"/>
  <c r="F93" i="1"/>
  <c r="J93" i="1" s="1"/>
  <c r="K93" i="1" s="1"/>
  <c r="A93" i="1"/>
  <c r="O93" i="1" s="1"/>
  <c r="J92" i="1"/>
  <c r="K92" i="1" s="1"/>
  <c r="I92" i="1"/>
  <c r="H92" i="1"/>
  <c r="F92" i="1"/>
  <c r="A92" i="1"/>
  <c r="O92" i="1" s="1"/>
  <c r="O91" i="1"/>
  <c r="I91" i="1"/>
  <c r="H91" i="1"/>
  <c r="F91" i="1"/>
  <c r="J91" i="1" s="1"/>
  <c r="A91" i="1"/>
  <c r="O90" i="1"/>
  <c r="I90" i="1"/>
  <c r="H90" i="1"/>
  <c r="J90" i="1" s="1"/>
  <c r="K90" i="1" s="1"/>
  <c r="F90" i="1"/>
  <c r="A90" i="1"/>
  <c r="O89" i="1"/>
  <c r="N89" i="1"/>
  <c r="J89" i="1"/>
  <c r="K89" i="1" s="1"/>
  <c r="I89" i="1"/>
  <c r="H89" i="1"/>
  <c r="F89" i="1"/>
  <c r="A89" i="1"/>
  <c r="J88" i="1"/>
  <c r="I88" i="1"/>
  <c r="H88" i="1"/>
  <c r="F88" i="1"/>
  <c r="A88" i="1"/>
  <c r="O88" i="1" s="1"/>
  <c r="I87" i="1"/>
  <c r="H87" i="1"/>
  <c r="F87" i="1"/>
  <c r="J87" i="1" s="1"/>
  <c r="K87" i="1" s="1"/>
  <c r="A87" i="1"/>
  <c r="O87" i="1" s="1"/>
  <c r="O86" i="1"/>
  <c r="I86" i="1"/>
  <c r="H86" i="1"/>
  <c r="F86" i="1"/>
  <c r="A86" i="1"/>
  <c r="I85" i="1"/>
  <c r="H85" i="1"/>
  <c r="F85" i="1"/>
  <c r="J85" i="1" s="1"/>
  <c r="K85" i="1" s="1"/>
  <c r="A85" i="1"/>
  <c r="O85" i="1" s="1"/>
  <c r="J84" i="1"/>
  <c r="K84" i="1" s="1"/>
  <c r="I84" i="1"/>
  <c r="H84" i="1"/>
  <c r="F84" i="1"/>
  <c r="A84" i="1"/>
  <c r="O84" i="1" s="1"/>
  <c r="O83" i="1"/>
  <c r="I83" i="1"/>
  <c r="H83" i="1"/>
  <c r="F83" i="1"/>
  <c r="J83" i="1" s="1"/>
  <c r="A83" i="1"/>
  <c r="O82" i="1"/>
  <c r="I82" i="1"/>
  <c r="H82" i="1"/>
  <c r="J82" i="1" s="1"/>
  <c r="K82" i="1" s="1"/>
  <c r="N82" i="1" s="1"/>
  <c r="F82" i="1"/>
  <c r="A82" i="1"/>
  <c r="O81" i="1"/>
  <c r="I81" i="1"/>
  <c r="H81" i="1"/>
  <c r="F81" i="1"/>
  <c r="J81" i="1" s="1"/>
  <c r="A81" i="1"/>
  <c r="J80" i="1"/>
  <c r="K80" i="1" s="1"/>
  <c r="I80" i="1"/>
  <c r="H80" i="1"/>
  <c r="F80" i="1"/>
  <c r="A80" i="1"/>
  <c r="O80" i="1" s="1"/>
  <c r="I79" i="1"/>
  <c r="H79" i="1"/>
  <c r="F79" i="1"/>
  <c r="J79" i="1" s="1"/>
  <c r="K79" i="1" s="1"/>
  <c r="A79" i="1"/>
  <c r="O79" i="1" s="1"/>
  <c r="O78" i="1"/>
  <c r="I78" i="1"/>
  <c r="H78" i="1"/>
  <c r="F78" i="1"/>
  <c r="J78" i="1" s="1"/>
  <c r="K78" i="1" s="1"/>
  <c r="A78" i="1"/>
  <c r="I77" i="1"/>
  <c r="H77" i="1"/>
  <c r="F77" i="1"/>
  <c r="J77" i="1" s="1"/>
  <c r="K77" i="1" s="1"/>
  <c r="A77" i="1"/>
  <c r="O77" i="1" s="1"/>
  <c r="J76" i="1"/>
  <c r="K76" i="1" s="1"/>
  <c r="I76" i="1"/>
  <c r="H76" i="1"/>
  <c r="N76" i="1" s="1"/>
  <c r="F76" i="1"/>
  <c r="A76" i="1"/>
  <c r="O76" i="1" s="1"/>
  <c r="O75" i="1"/>
  <c r="I75" i="1"/>
  <c r="H75" i="1"/>
  <c r="F75" i="1"/>
  <c r="J75" i="1" s="1"/>
  <c r="A75" i="1"/>
  <c r="O74" i="1"/>
  <c r="I74" i="1"/>
  <c r="H74" i="1"/>
  <c r="J74" i="1" s="1"/>
  <c r="K74" i="1" s="1"/>
  <c r="F74" i="1"/>
  <c r="A74" i="1"/>
  <c r="O73" i="1"/>
  <c r="I73" i="1"/>
  <c r="H73" i="1"/>
  <c r="F73" i="1"/>
  <c r="J73" i="1" s="1"/>
  <c r="A73" i="1"/>
  <c r="J72" i="1"/>
  <c r="I72" i="1"/>
  <c r="H72" i="1"/>
  <c r="F72" i="1"/>
  <c r="A72" i="1"/>
  <c r="O72" i="1" s="1"/>
  <c r="I71" i="1"/>
  <c r="H71" i="1"/>
  <c r="F71" i="1"/>
  <c r="A71" i="1"/>
  <c r="O71" i="1" s="1"/>
  <c r="O70" i="1"/>
  <c r="I70" i="1"/>
  <c r="H70" i="1"/>
  <c r="F70" i="1"/>
  <c r="A70" i="1"/>
  <c r="N69" i="1"/>
  <c r="I69" i="1"/>
  <c r="H69" i="1"/>
  <c r="F69" i="1"/>
  <c r="J69" i="1" s="1"/>
  <c r="K69" i="1" s="1"/>
  <c r="A69" i="1"/>
  <c r="O69" i="1" s="1"/>
  <c r="J68" i="1"/>
  <c r="K68" i="1" s="1"/>
  <c r="I68" i="1"/>
  <c r="H68" i="1"/>
  <c r="N68" i="1" s="1"/>
  <c r="F68" i="1"/>
  <c r="A68" i="1"/>
  <c r="O68" i="1" s="1"/>
  <c r="O67" i="1"/>
  <c r="I67" i="1"/>
  <c r="H67" i="1"/>
  <c r="F67" i="1"/>
  <c r="J67" i="1" s="1"/>
  <c r="A67" i="1"/>
  <c r="O66" i="1"/>
  <c r="N66" i="1"/>
  <c r="I66" i="1"/>
  <c r="H66" i="1"/>
  <c r="J66" i="1" s="1"/>
  <c r="K66" i="1" s="1"/>
  <c r="F66" i="1"/>
  <c r="A66" i="1"/>
  <c r="O65" i="1"/>
  <c r="J65" i="1"/>
  <c r="K65" i="1" s="1"/>
  <c r="I65" i="1"/>
  <c r="H65" i="1"/>
  <c r="F65" i="1"/>
  <c r="A65" i="1"/>
  <c r="J64" i="1"/>
  <c r="I64" i="1"/>
  <c r="H64" i="1"/>
  <c r="F64" i="1"/>
  <c r="A64" i="1"/>
  <c r="O64" i="1" s="1"/>
  <c r="I63" i="1"/>
  <c r="H63" i="1"/>
  <c r="F63" i="1"/>
  <c r="J63" i="1" s="1"/>
  <c r="A63" i="1"/>
  <c r="O63" i="1" s="1"/>
  <c r="O62" i="1"/>
  <c r="I62" i="1"/>
  <c r="H62" i="1"/>
  <c r="F62" i="1"/>
  <c r="J62" i="1" s="1"/>
  <c r="K62" i="1" s="1"/>
  <c r="A62" i="1"/>
  <c r="I61" i="1"/>
  <c r="H61" i="1"/>
  <c r="F61" i="1"/>
  <c r="J61" i="1" s="1"/>
  <c r="K61" i="1" s="1"/>
  <c r="A61" i="1"/>
  <c r="O61" i="1" s="1"/>
  <c r="O60" i="1"/>
  <c r="J60" i="1"/>
  <c r="K60" i="1" s="1"/>
  <c r="I60" i="1"/>
  <c r="H60" i="1"/>
  <c r="F60" i="1"/>
  <c r="A60" i="1"/>
  <c r="O59" i="1"/>
  <c r="I59" i="1"/>
  <c r="H59" i="1"/>
  <c r="F59" i="1"/>
  <c r="J59" i="1" s="1"/>
  <c r="A59" i="1"/>
  <c r="O58" i="1"/>
  <c r="I58" i="1"/>
  <c r="H58" i="1"/>
  <c r="F58" i="1"/>
  <c r="A58" i="1"/>
  <c r="O57" i="1"/>
  <c r="I57" i="1"/>
  <c r="H57" i="1"/>
  <c r="F57" i="1"/>
  <c r="J57" i="1" s="1"/>
  <c r="A57" i="1"/>
  <c r="J56" i="1"/>
  <c r="K56" i="1" s="1"/>
  <c r="I56" i="1"/>
  <c r="H56" i="1"/>
  <c r="F56" i="1"/>
  <c r="A56" i="1"/>
  <c r="O56" i="1" s="1"/>
  <c r="I55" i="1"/>
  <c r="H55" i="1"/>
  <c r="F55" i="1"/>
  <c r="J55" i="1" s="1"/>
  <c r="K55" i="1" s="1"/>
  <c r="A55" i="1"/>
  <c r="O55" i="1" s="1"/>
  <c r="I54" i="1"/>
  <c r="H54" i="1"/>
  <c r="F54" i="1"/>
  <c r="J54" i="1" s="1"/>
  <c r="K54" i="1" s="1"/>
  <c r="A54" i="1"/>
  <c r="O54" i="1" s="1"/>
  <c r="I53" i="1"/>
  <c r="H53" i="1"/>
  <c r="F53" i="1"/>
  <c r="A53" i="1"/>
  <c r="O53" i="1" s="1"/>
  <c r="I52" i="1"/>
  <c r="H52" i="1"/>
  <c r="N52" i="1" s="1"/>
  <c r="F52" i="1"/>
  <c r="J52" i="1" s="1"/>
  <c r="K52" i="1" s="1"/>
  <c r="A52" i="1"/>
  <c r="O52" i="1" s="1"/>
  <c r="N51" i="1"/>
  <c r="I51" i="1"/>
  <c r="H51" i="1"/>
  <c r="F51" i="1"/>
  <c r="J51" i="1" s="1"/>
  <c r="K51" i="1" s="1"/>
  <c r="A51" i="1"/>
  <c r="O51" i="1" s="1"/>
  <c r="I50" i="1"/>
  <c r="H50" i="1"/>
  <c r="N50" i="1" s="1"/>
  <c r="F50" i="1"/>
  <c r="J50" i="1" s="1"/>
  <c r="K50" i="1" s="1"/>
  <c r="A50" i="1"/>
  <c r="O50" i="1" s="1"/>
  <c r="I49" i="1"/>
  <c r="H49" i="1"/>
  <c r="F49" i="1"/>
  <c r="J49" i="1" s="1"/>
  <c r="K49" i="1" s="1"/>
  <c r="A49" i="1"/>
  <c r="O49" i="1" s="1"/>
  <c r="N48" i="1"/>
  <c r="I48" i="1"/>
  <c r="H48" i="1"/>
  <c r="F48" i="1"/>
  <c r="J48" i="1" s="1"/>
  <c r="K48" i="1" s="1"/>
  <c r="A48" i="1"/>
  <c r="O48" i="1" s="1"/>
  <c r="I47" i="1"/>
  <c r="H47" i="1"/>
  <c r="J47" i="1" s="1"/>
  <c r="K47" i="1" s="1"/>
  <c r="F47" i="1"/>
  <c r="A47" i="1"/>
  <c r="O47" i="1" s="1"/>
  <c r="I46" i="1"/>
  <c r="H46" i="1"/>
  <c r="F46" i="1"/>
  <c r="J46" i="1" s="1"/>
  <c r="K46" i="1" s="1"/>
  <c r="A46" i="1"/>
  <c r="O46" i="1" s="1"/>
  <c r="I45" i="1"/>
  <c r="H45" i="1"/>
  <c r="F45" i="1"/>
  <c r="J45" i="1" s="1"/>
  <c r="K45" i="1" s="1"/>
  <c r="A45" i="1"/>
  <c r="O45" i="1" s="1"/>
  <c r="J44" i="1"/>
  <c r="K44" i="1" s="1"/>
  <c r="I44" i="1"/>
  <c r="H44" i="1"/>
  <c r="F44" i="1"/>
  <c r="A44" i="1"/>
  <c r="O44" i="1" s="1"/>
  <c r="I43" i="1"/>
  <c r="H43" i="1"/>
  <c r="J43" i="1" s="1"/>
  <c r="K43" i="1" s="1"/>
  <c r="F43" i="1"/>
  <c r="A43" i="1"/>
  <c r="O43" i="1" s="1"/>
  <c r="I42" i="1"/>
  <c r="H42" i="1"/>
  <c r="F42" i="1"/>
  <c r="J42" i="1" s="1"/>
  <c r="K42" i="1" s="1"/>
  <c r="A42" i="1"/>
  <c r="O42" i="1" s="1"/>
  <c r="I41" i="1"/>
  <c r="H41" i="1"/>
  <c r="F41" i="1"/>
  <c r="J41" i="1" s="1"/>
  <c r="K41" i="1" s="1"/>
  <c r="A41" i="1"/>
  <c r="O41" i="1" s="1"/>
  <c r="J40" i="1"/>
  <c r="K40" i="1" s="1"/>
  <c r="I40" i="1"/>
  <c r="H40" i="1"/>
  <c r="F40" i="1"/>
  <c r="A40" i="1"/>
  <c r="O40" i="1" s="1"/>
  <c r="I39" i="1"/>
  <c r="H39" i="1"/>
  <c r="J39" i="1" s="1"/>
  <c r="K39" i="1" s="1"/>
  <c r="F39" i="1"/>
  <c r="A39" i="1"/>
  <c r="O39" i="1" s="1"/>
  <c r="I38" i="1"/>
  <c r="H38" i="1"/>
  <c r="N38" i="1" s="1"/>
  <c r="F38" i="1"/>
  <c r="J38" i="1" s="1"/>
  <c r="K38" i="1" s="1"/>
  <c r="A38" i="1"/>
  <c r="O38" i="1" s="1"/>
  <c r="I37" i="1"/>
  <c r="H37" i="1"/>
  <c r="F37" i="1"/>
  <c r="J37" i="1" s="1"/>
  <c r="K37" i="1" s="1"/>
  <c r="A37" i="1"/>
  <c r="O37" i="1" s="1"/>
  <c r="J36" i="1"/>
  <c r="K36" i="1" s="1"/>
  <c r="I36" i="1"/>
  <c r="H36" i="1"/>
  <c r="F36" i="1"/>
  <c r="A36" i="1"/>
  <c r="O36" i="1" s="1"/>
  <c r="I35" i="1"/>
  <c r="H35" i="1"/>
  <c r="J35" i="1" s="1"/>
  <c r="K35" i="1" s="1"/>
  <c r="F35" i="1"/>
  <c r="A35" i="1"/>
  <c r="O35" i="1" s="1"/>
  <c r="I34" i="1"/>
  <c r="H34" i="1"/>
  <c r="F34" i="1"/>
  <c r="J34" i="1" s="1"/>
  <c r="K34" i="1" s="1"/>
  <c r="A34" i="1"/>
  <c r="O34" i="1" s="1"/>
  <c r="I33" i="1"/>
  <c r="H33" i="1"/>
  <c r="N33" i="1" s="1"/>
  <c r="F33" i="1"/>
  <c r="J33" i="1" s="1"/>
  <c r="K33" i="1" s="1"/>
  <c r="A33" i="1"/>
  <c r="O33" i="1" s="1"/>
  <c r="J32" i="1"/>
  <c r="K32" i="1" s="1"/>
  <c r="I32" i="1"/>
  <c r="H32" i="1"/>
  <c r="F32" i="1"/>
  <c r="A32" i="1"/>
  <c r="O32" i="1" s="1"/>
  <c r="I31" i="1"/>
  <c r="H31" i="1"/>
  <c r="J31" i="1" s="1"/>
  <c r="K31" i="1" s="1"/>
  <c r="F31" i="1"/>
  <c r="A31" i="1"/>
  <c r="O31" i="1" s="1"/>
  <c r="I30" i="1"/>
  <c r="H30" i="1"/>
  <c r="F30" i="1"/>
  <c r="J30" i="1" s="1"/>
  <c r="K30" i="1" s="1"/>
  <c r="A30" i="1"/>
  <c r="O30" i="1" s="1"/>
  <c r="I29" i="1"/>
  <c r="H29" i="1"/>
  <c r="F29" i="1"/>
  <c r="J29" i="1" s="1"/>
  <c r="K29" i="1" s="1"/>
  <c r="A29" i="1"/>
  <c r="O29" i="1" s="1"/>
  <c r="J28" i="1"/>
  <c r="K28" i="1" s="1"/>
  <c r="I28" i="1"/>
  <c r="H28" i="1"/>
  <c r="F28" i="1"/>
  <c r="A28" i="1"/>
  <c r="O28" i="1" s="1"/>
  <c r="I27" i="1"/>
  <c r="H27" i="1"/>
  <c r="J27" i="1" s="1"/>
  <c r="K27" i="1" s="1"/>
  <c r="F27" i="1"/>
  <c r="A27" i="1"/>
  <c r="O27" i="1" s="1"/>
  <c r="I26" i="1"/>
  <c r="H26" i="1"/>
  <c r="F26" i="1"/>
  <c r="J26" i="1" s="1"/>
  <c r="K26" i="1" s="1"/>
  <c r="A26" i="1"/>
  <c r="O26" i="1" s="1"/>
  <c r="I25" i="1"/>
  <c r="H25" i="1"/>
  <c r="F25" i="1"/>
  <c r="J25" i="1" s="1"/>
  <c r="K25" i="1" s="1"/>
  <c r="A25" i="1"/>
  <c r="O25" i="1" s="1"/>
  <c r="J24" i="1"/>
  <c r="K24" i="1" s="1"/>
  <c r="I24" i="1"/>
  <c r="H24" i="1"/>
  <c r="F24" i="1"/>
  <c r="A24" i="1"/>
  <c r="O24" i="1" s="1"/>
  <c r="I23" i="1"/>
  <c r="H23" i="1"/>
  <c r="J23" i="1" s="1"/>
  <c r="K23" i="1" s="1"/>
  <c r="F23" i="1"/>
  <c r="A23" i="1"/>
  <c r="O23" i="1" s="1"/>
  <c r="I22" i="1"/>
  <c r="H22" i="1"/>
  <c r="F22" i="1"/>
  <c r="J22" i="1" s="1"/>
  <c r="K22" i="1" s="1"/>
  <c r="A22" i="1"/>
  <c r="O22" i="1" s="1"/>
  <c r="I21" i="1"/>
  <c r="H21" i="1"/>
  <c r="N21" i="1" s="1"/>
  <c r="F21" i="1"/>
  <c r="J21" i="1" s="1"/>
  <c r="K21" i="1" s="1"/>
  <c r="A21" i="1"/>
  <c r="O21" i="1" s="1"/>
  <c r="J20" i="1"/>
  <c r="K20" i="1" s="1"/>
  <c r="I20" i="1"/>
  <c r="H20" i="1"/>
  <c r="F20" i="1"/>
  <c r="A20" i="1"/>
  <c r="O20" i="1" s="1"/>
  <c r="I19" i="1"/>
  <c r="H19" i="1"/>
  <c r="J19" i="1" s="1"/>
  <c r="K19" i="1" s="1"/>
  <c r="F19" i="1"/>
  <c r="A19" i="1"/>
  <c r="O19" i="1" s="1"/>
  <c r="I18" i="1"/>
  <c r="H18" i="1"/>
  <c r="N18" i="1" s="1"/>
  <c r="F18" i="1"/>
  <c r="J18" i="1" s="1"/>
  <c r="K18" i="1" s="1"/>
  <c r="A18" i="1"/>
  <c r="O18" i="1" s="1"/>
  <c r="I17" i="1"/>
  <c r="H17" i="1"/>
  <c r="F17" i="1"/>
  <c r="J17" i="1" s="1"/>
  <c r="K17" i="1" s="1"/>
  <c r="A17" i="1"/>
  <c r="O17" i="1" s="1"/>
  <c r="J16" i="1"/>
  <c r="K16" i="1" s="1"/>
  <c r="I16" i="1"/>
  <c r="H16" i="1"/>
  <c r="F16" i="1"/>
  <c r="A16" i="1"/>
  <c r="O16" i="1" s="1"/>
  <c r="I15" i="1"/>
  <c r="H15" i="1"/>
  <c r="J15" i="1" s="1"/>
  <c r="K15" i="1" s="1"/>
  <c r="F15" i="1"/>
  <c r="A15" i="1"/>
  <c r="O15" i="1" s="1"/>
  <c r="I14" i="1"/>
  <c r="H14" i="1"/>
  <c r="F14" i="1"/>
  <c r="J14" i="1" s="1"/>
  <c r="K14" i="1" s="1"/>
  <c r="A14" i="1"/>
  <c r="O14" i="1" s="1"/>
  <c r="I13" i="1"/>
  <c r="H13" i="1"/>
  <c r="F13" i="1"/>
  <c r="J13" i="1" s="1"/>
  <c r="K13" i="1" s="1"/>
  <c r="A13" i="1"/>
  <c r="O13" i="1" s="1"/>
  <c r="J12" i="1"/>
  <c r="K12" i="1" s="1"/>
  <c r="I12" i="1"/>
  <c r="H12" i="1"/>
  <c r="F12" i="1"/>
  <c r="A12" i="1"/>
  <c r="O12" i="1" s="1"/>
  <c r="I11" i="1"/>
  <c r="H11" i="1"/>
  <c r="J11" i="1" s="1"/>
  <c r="K11" i="1" s="1"/>
  <c r="F11" i="1"/>
  <c r="A11" i="1"/>
  <c r="O11" i="1" s="1"/>
  <c r="I10" i="1"/>
  <c r="H10" i="1"/>
  <c r="F10" i="1"/>
  <c r="J10" i="1" s="1"/>
  <c r="K10" i="1" s="1"/>
  <c r="A10" i="1"/>
  <c r="O10" i="1" s="1"/>
  <c r="I9" i="1"/>
  <c r="H9" i="1"/>
  <c r="F9" i="1"/>
  <c r="J9" i="1" s="1"/>
  <c r="K9" i="1" s="1"/>
  <c r="A9" i="1"/>
  <c r="O9" i="1" s="1"/>
  <c r="J8" i="1"/>
  <c r="K8" i="1" s="1"/>
  <c r="I8" i="1"/>
  <c r="H8" i="1"/>
  <c r="F8" i="1"/>
  <c r="A8" i="1"/>
  <c r="O8" i="1" s="1"/>
  <c r="I7" i="1"/>
  <c r="H7" i="1"/>
  <c r="J7" i="1" s="1"/>
  <c r="K7" i="1" s="1"/>
  <c r="F7" i="1"/>
  <c r="A7" i="1"/>
  <c r="O7" i="1" s="1"/>
  <c r="I6" i="1"/>
  <c r="H6" i="1"/>
  <c r="N6" i="1" s="1"/>
  <c r="F6" i="1"/>
  <c r="J6" i="1" s="1"/>
  <c r="K6" i="1" s="1"/>
  <c r="A6" i="1"/>
  <c r="O6" i="1" s="1"/>
  <c r="I5" i="1"/>
  <c r="H5" i="1"/>
  <c r="F5" i="1"/>
  <c r="J5" i="1" s="1"/>
  <c r="K5" i="1" s="1"/>
  <c r="A5" i="1"/>
  <c r="O5" i="1" s="1"/>
  <c r="J4" i="1"/>
  <c r="I4" i="1"/>
  <c r="H4" i="1"/>
  <c r="F4" i="1"/>
  <c r="A4" i="1"/>
  <c r="O4" i="1" s="1"/>
  <c r="B20" i="2"/>
  <c r="H15" i="2"/>
  <c r="C15" i="2"/>
  <c r="C8" i="2"/>
  <c r="J6" i="2"/>
  <c r="C13" i="2" s="1"/>
  <c r="E1" i="2"/>
  <c r="K57" i="1" l="1"/>
  <c r="N57" i="1"/>
  <c r="K73" i="1"/>
  <c r="N73" i="1"/>
  <c r="N10" i="1"/>
  <c r="N25" i="1"/>
  <c r="N42" i="1"/>
  <c r="N14" i="1"/>
  <c r="N29" i="1"/>
  <c r="N46" i="1"/>
  <c r="N5" i="1"/>
  <c r="N22" i="1"/>
  <c r="N41" i="1"/>
  <c r="N9" i="1"/>
  <c r="N13" i="1"/>
  <c r="N30" i="1"/>
  <c r="N45" i="1"/>
  <c r="K81" i="1"/>
  <c r="N81" i="1"/>
  <c r="N37" i="1"/>
  <c r="N26" i="1"/>
  <c r="N17" i="1"/>
  <c r="N34" i="1"/>
  <c r="N49" i="1"/>
  <c r="K59" i="1"/>
  <c r="J71" i="1"/>
  <c r="K71" i="1" s="1"/>
  <c r="K83" i="1"/>
  <c r="N83" i="1"/>
  <c r="N92" i="1"/>
  <c r="N101" i="1"/>
  <c r="K104" i="1"/>
  <c r="N104" i="1" s="1"/>
  <c r="K4" i="1"/>
  <c r="N16" i="1"/>
  <c r="N20" i="1"/>
  <c r="N32" i="1"/>
  <c r="N7" i="1"/>
  <c r="N11" i="1"/>
  <c r="N15" i="1"/>
  <c r="N19" i="1"/>
  <c r="N23" i="1"/>
  <c r="N27" i="1"/>
  <c r="N31" i="1"/>
  <c r="N35" i="1"/>
  <c r="N39" i="1"/>
  <c r="N43" i="1"/>
  <c r="N47" i="1"/>
  <c r="N59" i="1"/>
  <c r="N65" i="1"/>
  <c r="J70" i="1"/>
  <c r="K70" i="1" s="1"/>
  <c r="N74" i="1"/>
  <c r="N77" i="1"/>
  <c r="N79" i="1"/>
  <c r="K88" i="1"/>
  <c r="N97" i="1"/>
  <c r="J105" i="1"/>
  <c r="K105" i="1" s="1"/>
  <c r="K108" i="1"/>
  <c r="N108" i="1"/>
  <c r="N24" i="1"/>
  <c r="N28" i="1"/>
  <c r="N111" i="1"/>
  <c r="K113" i="1"/>
  <c r="N113" i="1" s="1"/>
  <c r="K91" i="1"/>
  <c r="N91" i="1" s="1"/>
  <c r="N94" i="1"/>
  <c r="J94" i="1"/>
  <c r="K94" i="1" s="1"/>
  <c r="J103" i="1"/>
  <c r="K103" i="1" s="1"/>
  <c r="C10" i="2"/>
  <c r="J58" i="1"/>
  <c r="K58" i="1" s="1"/>
  <c r="K67" i="1"/>
  <c r="N67" i="1" s="1"/>
  <c r="N70" i="1"/>
  <c r="J11" i="2"/>
  <c r="N54" i="1"/>
  <c r="K64" i="1"/>
  <c r="N64" i="1" s="1"/>
  <c r="N72" i="1"/>
  <c r="N85" i="1"/>
  <c r="N87" i="1"/>
  <c r="K96" i="1"/>
  <c r="N96" i="1" s="1"/>
  <c r="N100" i="1"/>
  <c r="N110" i="1"/>
  <c r="C9" i="2"/>
  <c r="N36" i="1"/>
  <c r="N71" i="1"/>
  <c r="N88" i="1"/>
  <c r="E2" i="2"/>
  <c r="H184" i="1"/>
  <c r="N56" i="1"/>
  <c r="K63" i="1"/>
  <c r="K75" i="1"/>
  <c r="N75" i="1"/>
  <c r="N78" i="1"/>
  <c r="N84" i="1"/>
  <c r="N8" i="1"/>
  <c r="N12" i="1"/>
  <c r="N40" i="1"/>
  <c r="N44" i="1"/>
  <c r="J9" i="2"/>
  <c r="C16" i="2"/>
  <c r="N55" i="1"/>
  <c r="N62" i="1"/>
  <c r="C12" i="2"/>
  <c r="J7" i="2"/>
  <c r="J10" i="2" s="1"/>
  <c r="C17" i="2"/>
  <c r="C11" i="2"/>
  <c r="A4" i="2"/>
  <c r="C14" i="2"/>
  <c r="I184" i="1"/>
  <c r="J53" i="1"/>
  <c r="N60" i="1"/>
  <c r="N61" i="1"/>
  <c r="N63" i="1"/>
  <c r="K72" i="1"/>
  <c r="N80" i="1"/>
  <c r="J86" i="1"/>
  <c r="K86" i="1" s="1"/>
  <c r="N90" i="1"/>
  <c r="N93" i="1"/>
  <c r="N95" i="1"/>
  <c r="J95" i="1"/>
  <c r="K95" i="1" s="1"/>
  <c r="J101" i="1"/>
  <c r="K101" i="1" s="1"/>
  <c r="J115" i="1"/>
  <c r="K115" i="1" s="1"/>
  <c r="K112" i="1"/>
  <c r="N115" i="1"/>
  <c r="N99" i="1"/>
  <c r="N112" i="1"/>
  <c r="N117" i="1"/>
  <c r="J119" i="1"/>
  <c r="K119" i="1" s="1"/>
  <c r="N119" i="1"/>
  <c r="K99" i="1"/>
  <c r="J102" i="1"/>
  <c r="N107" i="1"/>
  <c r="J114" i="1"/>
  <c r="K114" i="1" s="1"/>
  <c r="J106" i="1"/>
  <c r="K106" i="1" s="1"/>
  <c r="N114" i="1"/>
  <c r="K116" i="1"/>
  <c r="N118" i="1"/>
  <c r="J117" i="1"/>
  <c r="K117" i="1" s="1"/>
  <c r="N120" i="1"/>
  <c r="N122" i="1"/>
  <c r="N124" i="1"/>
  <c r="N126" i="1"/>
  <c r="N128" i="1"/>
  <c r="N130" i="1"/>
  <c r="N132" i="1"/>
  <c r="N134" i="1"/>
  <c r="N136" i="1"/>
  <c r="N138" i="1"/>
  <c r="N140" i="1"/>
  <c r="N142" i="1"/>
  <c r="N144" i="1"/>
  <c r="N146" i="1"/>
  <c r="N148" i="1"/>
  <c r="N150" i="1"/>
  <c r="N152" i="1"/>
  <c r="N154" i="1"/>
  <c r="N156" i="1"/>
  <c r="N158" i="1"/>
  <c r="N160" i="1"/>
  <c r="N162" i="1"/>
  <c r="N164" i="1"/>
  <c r="N166" i="1"/>
  <c r="N168" i="1"/>
  <c r="N170" i="1"/>
  <c r="N172" i="1"/>
  <c r="N174" i="1"/>
  <c r="N176" i="1"/>
  <c r="N178" i="1"/>
  <c r="N180" i="1"/>
  <c r="N182" i="1"/>
  <c r="N116" i="1"/>
  <c r="N121" i="1"/>
  <c r="N123" i="1"/>
  <c r="N125" i="1"/>
  <c r="N127" i="1"/>
  <c r="N129" i="1"/>
  <c r="N131" i="1"/>
  <c r="N133" i="1"/>
  <c r="N135" i="1"/>
  <c r="N137" i="1"/>
  <c r="N139" i="1"/>
  <c r="N141" i="1"/>
  <c r="N143" i="1"/>
  <c r="N145" i="1"/>
  <c r="N147" i="1"/>
  <c r="N149" i="1"/>
  <c r="N151" i="1"/>
  <c r="N153" i="1"/>
  <c r="N155" i="1"/>
  <c r="N157" i="1"/>
  <c r="N159" i="1"/>
  <c r="N161" i="1"/>
  <c r="N163" i="1"/>
  <c r="N165" i="1"/>
  <c r="N167" i="1"/>
  <c r="N169" i="1"/>
  <c r="N171" i="1"/>
  <c r="N173" i="1"/>
  <c r="N175" i="1"/>
  <c r="N177" i="1"/>
  <c r="N179" i="1"/>
  <c r="N181" i="1"/>
  <c r="N183" i="1"/>
  <c r="K53" i="1" l="1"/>
  <c r="N53" i="1" s="1"/>
  <c r="N86" i="1"/>
  <c r="K102" i="1"/>
  <c r="N102" i="1"/>
  <c r="N103" i="1"/>
  <c r="N105" i="1"/>
  <c r="J184" i="1"/>
  <c r="N106" i="1"/>
  <c r="N58" i="1"/>
  <c r="N4" i="1"/>
  <c r="B1" i="1" l="1"/>
  <c r="K1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 ref="O3" authorId="0" shapeId="0" xr:uid="{00000000-0006-0000-0000-000004000000}">
      <text>
        <r>
          <rPr>
            <sz val="11"/>
            <color theme="1"/>
            <rFont val="ＭＳ Ｐゴシック"/>
            <family val="2"/>
            <scheme val="minor"/>
          </rPr>
          <t>🔎 請求書シートの「②生徒名で選択」ドロップダウンの選択肢です。
同姓同名がいても一意に選べるよう、No付きの表記にしています。
このセル自体を直接編集する必要はありません。</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1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100-000002000000}">
      <text>
        <r>
          <rPr>
            <sz val="11"/>
            <color theme="1"/>
            <rFont val="ＭＳ Ｐゴシック"/>
            <family val="2"/>
            <scheme val="minor"/>
          </rPr>
          <t>✏ セルをクリックすると▼が出るので、「No：生徒名」の形式から選んでください。
同姓同名がいてもNo付きなので取り違えずに選べます。</t>
        </r>
      </text>
    </comment>
    <comment ref="K35" authorId="0" shapeId="0" xr:uid="{00000000-0006-0000-0100-000003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sharedStrings.xml><?xml version="1.0" encoding="utf-8"?>
<sst xmlns="http://schemas.openxmlformats.org/spreadsheetml/2006/main" count="1145" uniqueCount="429">
  <si>
    <t>請求書</t>
  </si>
  <si>
    <t>発行日：</t>
  </si>
  <si>
    <t>🔧 操作パネル（この部分はPDF・印刷には含まれません）</t>
  </si>
  <si>
    <t>🔍 生徒を探すときは</t>
  </si>
  <si>
    <t>さくら学習塾　2026年8月分請求書</t>
  </si>
  <si>
    <t>請求書No：</t>
  </si>
  <si>
    <t>🟨 黄色いセルが入力欄です</t>
  </si>
  <si>
    <t>🔗 一覧をWebで検索して見る</t>
  </si>
  <si>
    <t>✅ クリックテスト：Gmailを開く（動作確認用）</t>
  </si>
  <si>
    <t>生徒名やNoで検索、教室で絞り込みができます（ブラウザで開きます）。</t>
  </si>
  <si>
    <t>① 生徒番号(No)で入力 ▶</t>
  </si>
  <si>
    <t>下記の通りご請求申し上げます。</t>
  </si>
  <si>
    <t>② または生徒名で選択 ▶</t>
  </si>
  <si>
    <t>選択中のNo</t>
  </si>
  <si>
    <t>ご請求内容</t>
  </si>
  <si>
    <t>選択中の生徒名</t>
  </si>
  <si>
    <t>教室</t>
  </si>
  <si>
    <t>メールで送る</t>
  </si>
  <si>
    <t>学年</t>
  </si>
  <si>
    <t>宛先（保護者メール）</t>
  </si>
  <si>
    <t>コース</t>
  </si>
  <si>
    <t>件名</t>
  </si>
  <si>
    <t>1コマ単価</t>
  </si>
  <si>
    <t>週コマ数</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</si>
  <si>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</si>
  <si>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コマ数（月間）</t>
  </si>
  <si>
    <t>教材費</t>
  </si>
  <si>
    <t>本文プレビュー（コピーも可）</t>
  </si>
  <si>
    <t>授業料</t>
  </si>
  <si>
    <t>消費税（授業料＋教材費の10%）</t>
  </si>
  <si>
    <t>ご請求額（税込）</t>
  </si>
  <si>
    <t>振込先：</t>
  </si>
  <si>
    <t>〇〇銀行 〇〇支店　普通　1234567　口座名義：サクラガクシュウジュク</t>
  </si>
  <si>
    <t>支払期日：</t>
  </si>
  <si>
    <t>お手数ですが、期日までにお振込みくださいますようお願いいたします。</t>
  </si>
  <si>
    <t>以上</t>
  </si>
  <si>
    <t>発行者：</t>
  </si>
  <si>
    <t>さくら学習塾</t>
  </si>
  <si>
    <t>📋 コース別 単価マスター</t>
  </si>
  <si>
    <t>🟨 黄色いセル（1コマ単価・教材費）を直すと、一覧表の該当コースの生徒全員に自動反映されます。</t>
  </si>
  <si>
    <t>教材費(標準)</t>
  </si>
  <si>
    <t>個別指導S</t>
  </si>
  <si>
    <t>個別指導</t>
  </si>
  <si>
    <t>集団授業</t>
  </si>
  <si>
    <t>映像授業</t>
  </si>
  <si>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</si>
  <si>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　🔽 180人分の行は普段は折りたたんであります。「合計」行の左にある［+］をクリックすると展開して週コマ数を編集できます。</t>
  </si>
  <si>
    <t>No</t>
  </si>
  <si>
    <t>生徒名</t>
  </si>
  <si>
    <t>コマ数</t>
  </si>
  <si>
    <t>請求額(税込)</t>
  </si>
  <si>
    <t>保護者メール</t>
  </si>
  <si>
    <t>Gmail</t>
  </si>
  <si>
    <t>請求内容</t>
  </si>
  <si>
    <t>選択用(No：生徒名)</t>
  </si>
  <si>
    <t>松本颯太</t>
  </si>
  <si>
    <t>本校</t>
  </si>
  <si>
    <t>小4</t>
  </si>
  <si>
    <t>seito001@example.com</t>
  </si>
  <si>
    <t>📧 Gmailを開く</t>
  </si>
  <si>
    <t>山崎咲良</t>
  </si>
  <si>
    <t>高1</t>
  </si>
  <si>
    <t>seito002@example.com</t>
  </si>
  <si>
    <t>佐々木悠斗</t>
  </si>
  <si>
    <t>中3</t>
  </si>
  <si>
    <t>seito003@example.com</t>
  </si>
  <si>
    <t>田中大和</t>
  </si>
  <si>
    <t>高3</t>
  </si>
  <si>
    <t>seito004@example.com</t>
  </si>
  <si>
    <t>中野莉子</t>
  </si>
  <si>
    <t>seito005@example.com</t>
  </si>
  <si>
    <t>橋本莉子</t>
  </si>
  <si>
    <t>seito006@example.com</t>
  </si>
  <si>
    <t>佐藤駿</t>
  </si>
  <si>
    <t>seito007@example.com</t>
  </si>
  <si>
    <t>阿部悠真</t>
  </si>
  <si>
    <t>中2</t>
  </si>
  <si>
    <t>seito008@example.com</t>
  </si>
  <si>
    <t>石川凛</t>
  </si>
  <si>
    <t>seito009@example.com</t>
  </si>
  <si>
    <t>木村美結</t>
  </si>
  <si>
    <t>中1</t>
  </si>
  <si>
    <t>seito010@example.com</t>
  </si>
  <si>
    <t>小林彩花</t>
  </si>
  <si>
    <t>seito011@example.com</t>
  </si>
  <si>
    <t>吉田駿</t>
  </si>
  <si>
    <t>高2</t>
  </si>
  <si>
    <t>seito012@example.com</t>
  </si>
  <si>
    <t>竹内蓮</t>
  </si>
  <si>
    <t>seito013@example.com</t>
  </si>
  <si>
    <t>木村優奈</t>
  </si>
  <si>
    <t>seito014@example.com</t>
  </si>
  <si>
    <t>村上悠斗</t>
  </si>
  <si>
    <t>seito015@example.com</t>
  </si>
  <si>
    <t>石川大翔</t>
  </si>
  <si>
    <t>seito016@example.com</t>
  </si>
  <si>
    <t>太田凛</t>
  </si>
  <si>
    <t>seito017@example.com</t>
  </si>
  <si>
    <t>吉田陽向</t>
  </si>
  <si>
    <t>小5</t>
  </si>
  <si>
    <t>seito018@example.com</t>
  </si>
  <si>
    <t>山下咲良</t>
  </si>
  <si>
    <t>seito019@example.com</t>
  </si>
  <si>
    <t>後藤愛</t>
  </si>
  <si>
    <t>seito020@example.com</t>
  </si>
  <si>
    <t>田村美結</t>
  </si>
  <si>
    <t>seito021@example.com</t>
  </si>
  <si>
    <t>中野陸</t>
  </si>
  <si>
    <t>seito022@example.com</t>
  </si>
  <si>
    <t>橋本颯</t>
  </si>
  <si>
    <t>seito023@example.com</t>
  </si>
  <si>
    <t>林健太</t>
  </si>
  <si>
    <t>seito024@example.com</t>
  </si>
  <si>
    <t>金子美咲</t>
  </si>
  <si>
    <t>小6</t>
  </si>
  <si>
    <t>seito025@example.com</t>
  </si>
  <si>
    <t>山田結翔</t>
  </si>
  <si>
    <t>seito026@example.com</t>
  </si>
  <si>
    <t>田村拓也</t>
  </si>
  <si>
    <t>seito027@example.com</t>
  </si>
  <si>
    <t>田中琴音</t>
  </si>
  <si>
    <t>seito028@example.com</t>
  </si>
  <si>
    <t>近藤悠斗</t>
  </si>
  <si>
    <t>seito029@example.com</t>
  </si>
  <si>
    <t>田中遥</t>
  </si>
  <si>
    <t>seito030@example.com</t>
  </si>
  <si>
    <t>森結衣</t>
  </si>
  <si>
    <t>seito031@example.com</t>
  </si>
  <si>
    <t>松本紬</t>
  </si>
  <si>
    <t>seito032@example.com</t>
  </si>
  <si>
    <t>後藤翼</t>
  </si>
  <si>
    <t>seito033@example.com</t>
  </si>
  <si>
    <t>小野楓</t>
  </si>
  <si>
    <t>seito034@example.com</t>
  </si>
  <si>
    <t>山下悠斗</t>
  </si>
  <si>
    <t>seito035@example.com</t>
  </si>
  <si>
    <t>藤田蓮</t>
  </si>
  <si>
    <t>seito036@example.com</t>
  </si>
  <si>
    <t>渡辺美結</t>
  </si>
  <si>
    <t>seito037@example.com</t>
  </si>
  <si>
    <t>斎藤葵</t>
  </si>
  <si>
    <t>seito038@example.com</t>
  </si>
  <si>
    <t>岡本蒼</t>
  </si>
  <si>
    <t>seito039@example.com</t>
  </si>
  <si>
    <t>小林美月</t>
  </si>
  <si>
    <t>seito040@example.com</t>
  </si>
  <si>
    <t>渡辺愛</t>
  </si>
  <si>
    <t>seito041@example.com</t>
  </si>
  <si>
    <t>高橋大翔</t>
  </si>
  <si>
    <t>seito042@example.com</t>
  </si>
  <si>
    <t>田中詩織</t>
  </si>
  <si>
    <t>seito043@example.com</t>
  </si>
  <si>
    <t>井上美咲</t>
  </si>
  <si>
    <t>seito044@example.com</t>
  </si>
  <si>
    <t>渡辺葵</t>
  </si>
  <si>
    <t>seito045@example.com</t>
  </si>
  <si>
    <t>山崎詩織</t>
  </si>
  <si>
    <t>seito046@example.com</t>
  </si>
  <si>
    <t>石井心春</t>
  </si>
  <si>
    <t>seito047@example.com</t>
  </si>
  <si>
    <t>佐藤健太</t>
  </si>
  <si>
    <t>seito048@example.com</t>
  </si>
  <si>
    <t>石井結衣</t>
  </si>
  <si>
    <t>seito049@example.com</t>
  </si>
  <si>
    <t>小川心春</t>
  </si>
  <si>
    <t>seito050@example.com</t>
  </si>
  <si>
    <t>青木彩花</t>
  </si>
  <si>
    <t>seito051@example.com</t>
  </si>
  <si>
    <t>福田蓮</t>
  </si>
  <si>
    <t>seito052@example.com</t>
  </si>
  <si>
    <t>伊藤大輝</t>
  </si>
  <si>
    <t>seito053@example.com</t>
  </si>
  <si>
    <t>山下優奈</t>
  </si>
  <si>
    <t>seito054@example.com</t>
  </si>
  <si>
    <t>橋本蓮</t>
  </si>
  <si>
    <t>seito055@example.com</t>
  </si>
  <si>
    <t>遠藤彩花</t>
  </si>
  <si>
    <t>seito056@example.com</t>
  </si>
  <si>
    <t>林一輝</t>
  </si>
  <si>
    <t>seito057@example.com</t>
  </si>
  <si>
    <t>小野咲良</t>
  </si>
  <si>
    <t>seito058@example.com</t>
  </si>
  <si>
    <t>後藤紬</t>
  </si>
  <si>
    <t>seito059@example.com</t>
  </si>
  <si>
    <t>小林颯太</t>
  </si>
  <si>
    <t>seito060@example.com</t>
  </si>
  <si>
    <t>伊藤駿</t>
  </si>
  <si>
    <t>seito061@example.com</t>
  </si>
  <si>
    <t>山下大和</t>
  </si>
  <si>
    <t>seito062@example.com</t>
  </si>
  <si>
    <t>後藤翔太</t>
  </si>
  <si>
    <t>seito063@example.com</t>
  </si>
  <si>
    <t>鈴木結衣</t>
  </si>
  <si>
    <t>seito064@example.com</t>
  </si>
  <si>
    <t>中野一輝</t>
  </si>
  <si>
    <t>seito065@example.com</t>
  </si>
  <si>
    <t>後藤湊</t>
  </si>
  <si>
    <t>seito066@example.com</t>
  </si>
  <si>
    <t>佐々木さくら</t>
  </si>
  <si>
    <t>seito067@example.com</t>
  </si>
  <si>
    <t>松本拓也</t>
  </si>
  <si>
    <t>seito068@example.com</t>
  </si>
  <si>
    <t>高橋陽菜</t>
  </si>
  <si>
    <t>seito069@example.com</t>
  </si>
  <si>
    <t>青木湊</t>
  </si>
  <si>
    <t>seito070@example.com</t>
  </si>
  <si>
    <t>鈴木琴音</t>
  </si>
  <si>
    <t>東校</t>
  </si>
  <si>
    <t>seito071@example.com</t>
  </si>
  <si>
    <t>岡本彩花</t>
  </si>
  <si>
    <t>seito072@example.com</t>
  </si>
  <si>
    <t>井上蓮</t>
  </si>
  <si>
    <t>seito073@example.com</t>
  </si>
  <si>
    <t>加藤一輝</t>
  </si>
  <si>
    <t>seito074@example.com</t>
  </si>
  <si>
    <t>渡辺煌</t>
  </si>
  <si>
    <t>seito075@example.com</t>
  </si>
  <si>
    <t>小川美月</t>
  </si>
  <si>
    <t>seito076@example.com</t>
  </si>
  <si>
    <t>岡本陽向</t>
  </si>
  <si>
    <t>seito077@example.com</t>
  </si>
  <si>
    <t>小川陽向</t>
  </si>
  <si>
    <t>seito078@example.com</t>
  </si>
  <si>
    <t>田中結衣</t>
  </si>
  <si>
    <t>seito079@example.com</t>
  </si>
  <si>
    <t>橋本煌</t>
  </si>
  <si>
    <t>seito080@example.com</t>
  </si>
  <si>
    <t>松本萌</t>
  </si>
  <si>
    <t>seito081@example.com</t>
  </si>
  <si>
    <t>小野結衣</t>
  </si>
  <si>
    <t>seito082@example.com</t>
  </si>
  <si>
    <t>藤井陽向</t>
  </si>
  <si>
    <t>seito083@example.com</t>
  </si>
  <si>
    <t>村上尊</t>
  </si>
  <si>
    <t>seito084@example.com</t>
  </si>
  <si>
    <t>山田花音</t>
  </si>
  <si>
    <t>seito085@example.com</t>
  </si>
  <si>
    <t>小川駿</t>
  </si>
  <si>
    <t>seito086@example.com</t>
  </si>
  <si>
    <t>中野健太</t>
  </si>
  <si>
    <t>seito087@example.com</t>
  </si>
  <si>
    <t>田中結翔</t>
  </si>
  <si>
    <t>seito088@example.com</t>
  </si>
  <si>
    <t>伊藤翼</t>
  </si>
  <si>
    <t>seito089@example.com</t>
  </si>
  <si>
    <t>後藤颯太</t>
  </si>
  <si>
    <t>seito090@example.com</t>
  </si>
  <si>
    <t>井上大和</t>
  </si>
  <si>
    <t>seito091@example.com</t>
  </si>
  <si>
    <t>井上詩織</t>
  </si>
  <si>
    <t>seito092@example.com</t>
  </si>
  <si>
    <t>中島琴音</t>
  </si>
  <si>
    <t>seito093@example.com</t>
  </si>
  <si>
    <t>山本拓也</t>
  </si>
  <si>
    <t>seito094@example.com</t>
  </si>
  <si>
    <t>池田颯</t>
  </si>
  <si>
    <t>seito095@example.com</t>
  </si>
  <si>
    <t>斎藤彩花</t>
  </si>
  <si>
    <t>seito096@example.com</t>
  </si>
  <si>
    <t>山本愛</t>
  </si>
  <si>
    <t>seito097@example.com</t>
  </si>
  <si>
    <t>小野美咲</t>
  </si>
  <si>
    <t>seito098@example.com</t>
  </si>
  <si>
    <t>石川美咲</t>
  </si>
  <si>
    <t>seito099@example.com</t>
  </si>
  <si>
    <t>阿部拓也</t>
  </si>
  <si>
    <t>seito100@example.com</t>
  </si>
  <si>
    <t>西村彩花</t>
  </si>
  <si>
    <t>seito101@example.com</t>
  </si>
  <si>
    <t>森健太</t>
  </si>
  <si>
    <t>seito102@example.com</t>
  </si>
  <si>
    <t>伊藤悠真</t>
  </si>
  <si>
    <t>seito103@example.com</t>
  </si>
  <si>
    <t>松本大輝</t>
  </si>
  <si>
    <t>seito104@example.com</t>
  </si>
  <si>
    <t>太田拓也</t>
  </si>
  <si>
    <t>seito105@example.com</t>
  </si>
  <si>
    <t>中島悠真</t>
  </si>
  <si>
    <t>seito106@example.com</t>
  </si>
  <si>
    <t>中野咲良</t>
  </si>
  <si>
    <t>seito107@example.com</t>
  </si>
  <si>
    <t>吉田優奈</t>
  </si>
  <si>
    <t>seito108@example.com</t>
  </si>
  <si>
    <t>林大翔</t>
  </si>
  <si>
    <t>seito109@example.com</t>
  </si>
  <si>
    <t>青木陽菜</t>
  </si>
  <si>
    <t>seito110@example.com</t>
  </si>
  <si>
    <t>清水一輝</t>
  </si>
  <si>
    <t>seito111@example.com</t>
  </si>
  <si>
    <t>井上朝陽</t>
  </si>
  <si>
    <t>seito112@example.com</t>
  </si>
  <si>
    <t>中野美桜</t>
  </si>
  <si>
    <t>seito113@example.com</t>
  </si>
  <si>
    <t>林美月</t>
  </si>
  <si>
    <t>seito114@example.com</t>
  </si>
  <si>
    <t>加藤悠斗</t>
  </si>
  <si>
    <t>seito115@example.com</t>
  </si>
  <si>
    <t>福田結衣</t>
  </si>
  <si>
    <t>seito116@example.com</t>
  </si>
  <si>
    <t>山口陽向</t>
  </si>
  <si>
    <t>seito117@example.com</t>
  </si>
  <si>
    <t>高橋蒼</t>
  </si>
  <si>
    <t>seito118@example.com</t>
  </si>
  <si>
    <t>林翔太</t>
  </si>
  <si>
    <t>seito119@example.com</t>
  </si>
  <si>
    <t>岡田詩織</t>
  </si>
  <si>
    <t>seito120@example.com</t>
  </si>
  <si>
    <t>後藤蒼</t>
  </si>
  <si>
    <t>seito121@example.com</t>
  </si>
  <si>
    <t>渡辺陽菜乃</t>
  </si>
  <si>
    <t>seito122@example.com</t>
  </si>
  <si>
    <t>小川一輝</t>
  </si>
  <si>
    <t>seito123@example.com</t>
  </si>
  <si>
    <t>斎藤愛</t>
  </si>
  <si>
    <t>seito124@example.com</t>
  </si>
  <si>
    <t>長谷川咲良</t>
  </si>
  <si>
    <t>seito125@example.com</t>
  </si>
  <si>
    <t>長谷川煌</t>
  </si>
  <si>
    <t>seito126@example.com</t>
  </si>
  <si>
    <t>吉田萌</t>
  </si>
  <si>
    <t>seito127@example.com</t>
  </si>
  <si>
    <t>山本一輝</t>
  </si>
  <si>
    <t>seito128@example.com</t>
  </si>
  <si>
    <t>坂本凛</t>
  </si>
  <si>
    <t>seito129@example.com</t>
  </si>
  <si>
    <t>佐藤蒼</t>
  </si>
  <si>
    <t>seito130@example.com</t>
  </si>
  <si>
    <t>前田結翔</t>
  </si>
  <si>
    <t>西校</t>
  </si>
  <si>
    <t>seito131@example.com</t>
  </si>
  <si>
    <t>竹内蒼</t>
  </si>
  <si>
    <t>seito132@example.com</t>
  </si>
  <si>
    <t>加藤葵</t>
  </si>
  <si>
    <t>seito133@example.com</t>
  </si>
  <si>
    <t>佐藤萌</t>
  </si>
  <si>
    <t>seito134@example.com</t>
  </si>
  <si>
    <t>阿部花音</t>
  </si>
  <si>
    <t>seito135@example.com</t>
  </si>
  <si>
    <t>近藤大和</t>
  </si>
  <si>
    <t>seito136@example.com</t>
  </si>
  <si>
    <t>田村陽向</t>
  </si>
  <si>
    <t>seito137@example.com</t>
  </si>
  <si>
    <t>岡本美結</t>
  </si>
  <si>
    <t>seito138@example.com</t>
  </si>
  <si>
    <t>森花音</t>
  </si>
  <si>
    <t>seito139@example.com</t>
  </si>
  <si>
    <t>太田優奈</t>
  </si>
  <si>
    <t>seito140@example.com</t>
  </si>
  <si>
    <t>山本美月</t>
  </si>
  <si>
    <t>seito141@example.com</t>
  </si>
  <si>
    <t>木村心春</t>
  </si>
  <si>
    <t>seito142@example.com</t>
  </si>
  <si>
    <t>山口朝陽</t>
  </si>
  <si>
    <t>seito143@example.com</t>
  </si>
  <si>
    <t>伊藤楓</t>
  </si>
  <si>
    <t>seito144@example.com</t>
  </si>
  <si>
    <t>斎藤一輝</t>
  </si>
  <si>
    <t>seito145@example.com</t>
  </si>
  <si>
    <t>遠藤大和</t>
  </si>
  <si>
    <t>seito146@example.com</t>
  </si>
  <si>
    <t>金子心春</t>
  </si>
  <si>
    <t>seito147@example.com</t>
  </si>
  <si>
    <t>田中美桜</t>
  </si>
  <si>
    <t>seito148@example.com</t>
  </si>
  <si>
    <t>小野湊</t>
  </si>
  <si>
    <t>seito149@example.com</t>
  </si>
  <si>
    <t>石井琴音</t>
  </si>
  <si>
    <t>seito150@example.com</t>
  </si>
  <si>
    <t>近藤大翔</t>
  </si>
  <si>
    <t>seito151@example.com</t>
  </si>
  <si>
    <t>佐藤悠真</t>
  </si>
  <si>
    <t>seito152@example.com</t>
  </si>
  <si>
    <t>長谷川美月</t>
  </si>
  <si>
    <t>seito153@example.com</t>
  </si>
  <si>
    <t>近藤拓也</t>
  </si>
  <si>
    <t>seito154@example.com</t>
  </si>
  <si>
    <t>中村駿</t>
  </si>
  <si>
    <t>seito155@example.com</t>
  </si>
  <si>
    <t>伊藤煌</t>
  </si>
  <si>
    <t>seito156@example.com</t>
  </si>
  <si>
    <t>金子美桜</t>
  </si>
  <si>
    <t>seito157@example.com</t>
  </si>
  <si>
    <t>池田彩花</t>
  </si>
  <si>
    <t>seito158@example.com</t>
  </si>
  <si>
    <t>岡本悠斗</t>
  </si>
  <si>
    <t>seito159@example.com</t>
  </si>
  <si>
    <t>加藤湊</t>
  </si>
  <si>
    <t>seito160@example.com</t>
  </si>
  <si>
    <t>松本結翔</t>
  </si>
  <si>
    <t>seito161@example.com</t>
  </si>
  <si>
    <t>山崎美咲</t>
  </si>
  <si>
    <t>seito162@example.com</t>
  </si>
  <si>
    <t>山口大翔</t>
  </si>
  <si>
    <t>seito163@example.com</t>
  </si>
  <si>
    <t>鈴木遥</t>
  </si>
  <si>
    <t>seito164@example.com</t>
  </si>
  <si>
    <t>小野朝陽</t>
  </si>
  <si>
    <t>seito165@example.com</t>
  </si>
  <si>
    <t>山崎紬</t>
  </si>
  <si>
    <t>seito166@example.com</t>
  </si>
  <si>
    <t>岡田葵</t>
  </si>
  <si>
    <t>seito167@example.com</t>
  </si>
  <si>
    <t>田村琴音</t>
  </si>
  <si>
    <t>seito168@example.com</t>
  </si>
  <si>
    <t>竹内楓</t>
  </si>
  <si>
    <t>seito169@example.com</t>
  </si>
  <si>
    <t>藤井遥</t>
  </si>
  <si>
    <t>seito170@example.com</t>
  </si>
  <si>
    <t>長谷川悠真</t>
  </si>
  <si>
    <t>seito171@example.com</t>
  </si>
  <si>
    <t>林海斗</t>
  </si>
  <si>
    <t>seito172@example.com</t>
  </si>
  <si>
    <t>伊藤萌</t>
  </si>
  <si>
    <t>seito173@example.com</t>
  </si>
  <si>
    <t>近藤蓮</t>
  </si>
  <si>
    <t>seito174@example.com</t>
  </si>
  <si>
    <t>井上尊</t>
  </si>
  <si>
    <t>seito175@example.com</t>
  </si>
  <si>
    <t>西村尊</t>
  </si>
  <si>
    <t>seito176@example.com</t>
  </si>
  <si>
    <t>藤井美桜</t>
  </si>
  <si>
    <t>seito177@example.com</t>
  </si>
  <si>
    <t>山口美桜</t>
  </si>
  <si>
    <t>seito178@example.com</t>
  </si>
  <si>
    <t>竹内花音</t>
  </si>
  <si>
    <t>seito179@example.com</t>
  </si>
  <si>
    <t>前田葵</t>
  </si>
  <si>
    <t>seito180@example.com</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</si>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</sst>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3" x14ac:knownFonts="1">
    <font>
      <sz val="11"/>
      <color theme="1"/>
      <name val="ＭＳ Ｐゴシック"/>
      <family val="2"/>
      <scheme val="minor"/>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u/>
      <sz val="12"/>
      <color rgb="FF1155CC"/>
      <name val="ＭＳ Ｐゴシック"/>
      <family val="3"/>
      <charset val="128"/>
    </font>
    <font>
      <sz val="9"/>
      <color rgb="FF5B6472"/>
      <name val="ＭＳ Ｐゴシック"/>
      <family val="3"/>
      <charset val="128"/>
    </font>
    <font>
      <b/>
      <sz val="14"/>
      <name val="ＭＳ Ｐゴシック"/>
      <family val="3"/>
      <charset val="128"/>
    </font>
    <font>
      <b/>
      <sz val="13"/>
      <color rgb="FF223757"/>
      <name val="ＭＳ Ｐゴシック"/>
      <family val="3"/>
      <charset val="128"/>
    </font>
    <font>
      <b/>
      <sz val="12"/>
      <color rgb="FF223757"/>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s>
  <borders count="5">
    <border>
      <left/>
      <right/>
      <top/>
      <bottom/>
      <diagonal/>
    </border>
    <border>
      <left style="thin">
        <color rgb="FFB0B0B0"/>
      </left>
      <right style="thin">
        <color rgb="FFB0B0B0"/>
      </right>
      <top style="thin">
        <color rgb="FFB0B0B0"/>
      </top>
      <bottom style="thin">
        <color rgb="FFB0B0B0"/>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49">
    <xf numFmtId="0" fontId="0" fillId="0" borderId="0" xfId="0"/>
    <xf numFmtId="0" fontId="1" fillId="2" borderId="0" xfId="0" applyFont="1" applyFill="1"/>
    <xf numFmtId="0" fontId="0" fillId="2" borderId="0" xfId="0" applyFill="1"/>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horizontal="center"/>
    </xf>
    <xf numFmtId="3" fontId="0" fillId="0" borderId="0" xfId="0" applyNumberFormat="1"/>
    <xf numFmtId="1" fontId="0" fillId="3" borderId="0" xfId="0" applyNumberFormat="1" applyFill="1" applyAlignment="1">
      <alignment horizontal="center"/>
    </xf>
    <xf numFmtId="1" fontId="0" fillId="0" borderId="0" xfId="0" applyNumberFormat="1"/>
    <xf numFmtId="0" fontId="5" fillId="0" borderId="0" xfId="0" applyFont="1" applyAlignment="1">
      <alignment horizontal="center"/>
    </xf>
    <xf numFmtId="0" fontId="6" fillId="0" borderId="0" xfId="0" applyFont="1"/>
    <xf numFmtId="0" fontId="0" fillId="3" borderId="1" xfId="0" applyFill="1" applyBorder="1"/>
    <xf numFmtId="3" fontId="4" fillId="3" borderId="1" xfId="0" applyNumberFormat="1" applyFont="1" applyFill="1" applyBorder="1"/>
    <xf numFmtId="0" fontId="0" fillId="0" borderId="0" xfId="0" applyAlignment="1">
      <alignment horizontal="right"/>
    </xf>
    <xf numFmtId="0" fontId="8" fillId="0" borderId="0" xfId="0" applyFont="1"/>
    <xf numFmtId="0" fontId="15" fillId="0" borderId="0" xfId="0" applyFont="1"/>
    <xf numFmtId="0" fontId="4" fillId="0" borderId="0" xfId="0" applyFont="1"/>
    <xf numFmtId="0" fontId="10" fillId="0" borderId="0" xfId="0" applyFont="1"/>
    <xf numFmtId="0" fontId="1" fillId="0" borderId="0" xfId="0" applyFont="1"/>
    <xf numFmtId="0" fontId="11" fillId="0" borderId="0" xfId="0" applyFont="1"/>
    <xf numFmtId="0" fontId="13" fillId="0" borderId="0" xfId="0" applyFont="1"/>
    <xf numFmtId="3" fontId="0" fillId="3" borderId="0" xfId="0" applyNumberFormat="1" applyFill="1"/>
    <xf numFmtId="3" fontId="0" fillId="0" borderId="0" xfId="0" applyNumberFormat="1"/>
    <xf numFmtId="0" fontId="0" fillId="0" borderId="0" xfId="0"/>
    <xf numFmtId="0" fontId="20" fillId="0" borderId="0" xfId="0" applyFont="1"/>
    <xf numFmtId="0" fontId="17" fillId="5" borderId="0" xfId="0" applyFont="1" applyFill="1"/>
    <xf numFmtId="0" fontId="0" fillId="0" borderId="1" xfId="0" applyBorder="1" applyAlignment="1">
      <alignment horizontal="left" vertical="top" wrapText="1"/>
    </xf>
    <xf numFmtId="0" fontId="16" fillId="0" borderId="0" xfId="0" applyFont="1"/>
    <xf numFmtId="0" fontId="14" fillId="4" borderId="0" xfId="0" applyFont="1" applyFill="1"/>
    <xf numFmtId="0" fontId="14" fillId="0" borderId="0" xfId="0" applyFont="1"/>
    <xf numFmtId="0" fontId="10" fillId="0" borderId="0" xfId="0" applyFont="1"/>
    <xf numFmtId="1" fontId="0" fillId="0" borderId="0" xfId="0" applyNumberFormat="1"/>
    <xf numFmtId="0" fontId="18" fillId="0" borderId="0" xfId="0" applyFont="1" applyAlignment="1">
      <alignment vertical="top" wrapText="1"/>
    </xf>
    <xf numFmtId="0" fontId="21" fillId="0" borderId="0" xfId="0" applyFont="1"/>
    <xf numFmtId="176" fontId="0" fillId="0" borderId="0" xfId="0" applyNumberFormat="1"/>
    <xf numFmtId="3" fontId="12" fillId="2" borderId="0" xfId="0" applyNumberFormat="1" applyFont="1" applyFill="1"/>
    <xf numFmtId="0" fontId="0" fillId="2" borderId="0" xfId="0" applyFill="1"/>
    <xf numFmtId="0" fontId="9" fillId="0" borderId="0" xfId="0" applyFont="1"/>
    <xf numFmtId="0" fontId="19" fillId="3" borderId="2" xfId="0" applyFont="1" applyFill="1" applyBorder="1" applyAlignment="1">
      <alignment horizontal="center"/>
    </xf>
    <xf numFmtId="0" fontId="0" fillId="0" borderId="3" xfId="0" applyBorder="1"/>
    <xf numFmtId="0" fontId="0" fillId="0" borderId="0" xfId="0" applyAlignment="1">
      <alignment horizontal="left"/>
    </xf>
    <xf numFmtId="0" fontId="19" fillId="3" borderId="2" xfId="0" applyFont="1" applyFill="1" applyBorder="1"/>
    <xf numFmtId="0" fontId="0" fillId="0" borderId="4" xfId="0" applyBorder="1"/>
    <xf numFmtId="0" fontId="7" fillId="0" borderId="0" xfId="0" applyFont="1"/>
    <xf numFmtId="176" fontId="10" fillId="0" borderId="0" xfId="0" applyNumberFormat="1" applyFont="1"/>
    <xf numFmtId="0" fontId="4" fillId="3" borderId="1" xfId="0" applyFont="1" applyFill="1" applyBorder="1" applyAlignment="1">
      <alignment horizontal="center"/>
    </xf>
    <xf numFmtId="0" fontId="0" fillId="3" borderId="1" xfId="0" applyFill="1" applyBorder="1"/>
    <xf numFmtId="3" fontId="2" fillId="2" borderId="0" xfId="0" applyNumberFormat="1" applyFont="1" applyFill="1"/>
    <xf numFmtId="0" fontId="3" fillId="0" borderId="0" xfId="0" applyFont="1" applyAlignment="1">
      <alignmen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J35:L39">
  <autoFilter ref="J35:L39"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21" Type="http://schemas.openxmlformats.org/officeDocument/2006/relationships/hyperlink" Target="https://mail.google.com/mail/?view=cm&amp;fs=1&amp;to=seito021%40example.com&amp;su=%E7%94%B0%E6%9D%91%E7%BE%8E%E7%B5%90%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2" Type="http://schemas.openxmlformats.org/officeDocument/2006/relationships/hyperlink" Target="https://mail.google.com/mail/?view=cm&amp;fs=1&amp;to=seito042%40example.com&amp;su=%E9%AB%98%E6%A9%8B%E5%A4%A7%E7%BF%94%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63" Type="http://schemas.openxmlformats.org/officeDocument/2006/relationships/hyperlink" Target="https://mail.google.com/mail/?view=cm&amp;fs=1&amp;to=seito063%40example.com&amp;su=%E5%BE%8C%E8%97%A4%E7%BF%94%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4" Type="http://schemas.openxmlformats.org/officeDocument/2006/relationships/hyperlink" Target="https://mail.google.com/mail/?view=cm&amp;fs=1&amp;to=seito084%40example.com&amp;su=%E6%9D%91%E4%B8%8A%E5%B0%8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8" Type="http://schemas.openxmlformats.org/officeDocument/2006/relationships/hyperlink" Target="https://mail.google.com/mail/?view=cm&amp;fs=1&amp;to=seito138%40example.com&amp;su=%E5%B2%A1%E6%9C%AC%E7%BE%8E%E7%B5%90%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9" Type="http://schemas.openxmlformats.org/officeDocument/2006/relationships/hyperlink" Target="https://mail.google.com/mail/?view=cm&amp;fs=1&amp;to=seito159%40example.com&amp;su=%E5%B2%A1%E6%9C%AC%E6%82%A0%E6%96%97%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70" Type="http://schemas.openxmlformats.org/officeDocument/2006/relationships/hyperlink" Target="https://mail.google.com/mail/?view=cm&amp;fs=1&amp;to=seito170%40example.com&amp;su=%E8%97%A4%E4%BA%95%E9%81%A5%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107" Type="http://schemas.openxmlformats.org/officeDocument/2006/relationships/hyperlink" Target="https://mail.google.com/mail/?view=cm&amp;fs=1&amp;to=seito107%40example.com&amp;su=%E4%B8%AD%E9%87%8E%E5%92%B2%E8%89%AF%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1" Type="http://schemas.openxmlformats.org/officeDocument/2006/relationships/hyperlink" Target="https://mail.google.com/mail/?view=cm&amp;fs=1&amp;to=seito011%40example.com&amp;su=%E5%B0%8F%E6%9E%97%E5%BD%A9%E8%8A%B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2" Type="http://schemas.openxmlformats.org/officeDocument/2006/relationships/hyperlink" Target="https://mail.google.com/mail/?view=cm&amp;fs=1&amp;to=seito032%40example.com&amp;su=%E6%9D%BE%E6%9C%AC%E7%B4%AC%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53" Type="http://schemas.openxmlformats.org/officeDocument/2006/relationships/hyperlink" Target="https://mail.google.com/mail/?view=cm&amp;fs=1&amp;to=seito053%40example.com&amp;su=%E4%BC%8A%E8%97%A4%E5%A4%A7%E8%BC%9D%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4" Type="http://schemas.openxmlformats.org/officeDocument/2006/relationships/hyperlink" Target="https://mail.google.com/mail/?view=cm&amp;fs=1&amp;to=seito074%40example.com&amp;su=%E5%8A%A0%E8%97%A4%E4%B8%80%E8%BC%9D%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28" Type="http://schemas.openxmlformats.org/officeDocument/2006/relationships/hyperlink" Target="https://mail.google.com/mail/?view=cm&amp;fs=1&amp;to=seito128%40example.com&amp;su=%E5%B1%B1%E6%9C%AC%E4%B8%80%E8%BC%9D%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49" Type="http://schemas.openxmlformats.org/officeDocument/2006/relationships/hyperlink" Target="https://mail.google.com/mail/?view=cm&amp;fs=1&amp;to=seito149%40example.com&amp;su=%E5%B0%8F%E9%87%8E%E6%B9%8A%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 Type="http://schemas.openxmlformats.org/officeDocument/2006/relationships/hyperlink" Target="https://mail.google.com/mail/?view=cm&amp;fs=1&amp;to=seito005%40example.com&amp;su=%E4%B8%AD%E9%87%8E%E8%8E%89%E5%AD%90%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95" Type="http://schemas.openxmlformats.org/officeDocument/2006/relationships/hyperlink" Target="https://mail.google.com/mail/?view=cm&amp;fs=1&amp;to=seito095%40example.com&amp;su=%E6%B1%A0%E7%94%B0%E9%A2%AF%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60" Type="http://schemas.openxmlformats.org/officeDocument/2006/relationships/hyperlink" Target="https://mail.google.com/mail/?view=cm&amp;fs=1&amp;to=seito160%40example.com&amp;su=%E5%8A%A0%E8%97%A4%E6%B9%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4%B8%AD%E9%87%8E%E9%99%B8%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43" Type="http://schemas.openxmlformats.org/officeDocument/2006/relationships/hyperlink" Target="https://mail.google.com/mail/?view=cm&amp;fs=1&amp;to=seito043%40example.com&amp;su=%E7%94%B0%E4%B8%AD%E8%A9%A9%E7%B9%94%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64" Type="http://schemas.openxmlformats.org/officeDocument/2006/relationships/hyperlink" Target="https://mail.google.com/mail/?view=cm&amp;fs=1&amp;to=seito064%40example.com&amp;su=%E9%88%B4%E6%9C%A8%E7%B5%90%E8%A1%A3%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18" Type="http://schemas.openxmlformats.org/officeDocument/2006/relationships/hyperlink" Target="https://mail.google.com/mail/?view=cm&amp;fs=1&amp;to=seito118%40example.com&amp;su=%E9%AB%98%E6%A9%8B%E8%92%B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39" Type="http://schemas.openxmlformats.org/officeDocument/2006/relationships/hyperlink" Target="https://mail.google.com/mail/?view=cm&amp;fs=1&amp;to=seito139%40example.com&amp;su=%E6%A3%AE%E8%8A%B1%E9%9F%B3%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85" Type="http://schemas.openxmlformats.org/officeDocument/2006/relationships/hyperlink" Target="https://mail.google.com/mail/?view=cm&amp;fs=1&amp;to=seito085%40example.com&amp;su=%E5%B1%B1%E7%94%B0%E8%8A%B1%E9%9F%B3%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50" Type="http://schemas.openxmlformats.org/officeDocument/2006/relationships/hyperlink" Target="https://mail.google.com/mail/?view=cm&amp;fs=1&amp;to=seito150%40example.com&amp;su=%E7%9F%B3%E4%BA%95%E7%90%B4%E9%9F%B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1" Type="http://schemas.openxmlformats.org/officeDocument/2006/relationships/hyperlink" Target="https://mail.google.com/mail/?view=cm&amp;fs=1&amp;to=seito171%40example.com&amp;su=%E9%95%B7%E8%B0%B7%E5%B7%9D%E6%82%A0%E7%9C%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2" Type="http://schemas.openxmlformats.org/officeDocument/2006/relationships/hyperlink" Target="https://mail.google.com/mail/?view=cm&amp;fs=1&amp;to=seito012%40example.com&amp;su=%E5%90%89%E7%94%B0%E9%A7%BF%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33" Type="http://schemas.openxmlformats.org/officeDocument/2006/relationships/hyperlink" Target="https://mail.google.com/mail/?view=cm&amp;fs=1&amp;to=seito033%40example.com&amp;su=%E5%BE%8C%E8%97%A4%E7%BF%BC%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08" Type="http://schemas.openxmlformats.org/officeDocument/2006/relationships/hyperlink" Target="https://mail.google.com/mail/?view=cm&amp;fs=1&amp;to=seito108%40example.com&amp;su=%E5%90%89%E7%94%B0%E5%84%AA%E5%A5%88%E6%A7%98%202026%E5%B9%B48%E6%9C%88%E5%88%86%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29" Type="http://schemas.openxmlformats.org/officeDocument/2006/relationships/hyperlink" Target="https://mail.google.com/mail/?view=cm&amp;fs=1&amp;to=seito129%40example.com&amp;su=%E5%9D%82%E6%9C%AC%E5%87%9B%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54" Type="http://schemas.openxmlformats.org/officeDocument/2006/relationships/hyperlink" Target="https://mail.google.com/mail/?view=cm&amp;fs=1&amp;to=seito054%40example.com&amp;su=%E5%B1%B1%E4%B8%8B%E5%84%AA%E5%A5%88%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75" Type="http://schemas.openxmlformats.org/officeDocument/2006/relationships/hyperlink" Target="https://mail.google.com/mail/?view=cm&amp;fs=1&amp;to=seito075%40example.com&amp;su=%E6%B8%A1%E8%BE%BA%E7%85%8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96" Type="http://schemas.openxmlformats.org/officeDocument/2006/relationships/hyperlink" Target="https://mail.google.com/mail/?view=cm&amp;fs=1&amp;to=seito096%40example.com&amp;su=%E6%96%8E%E8%97%A4%E5%BD%A9%E8%8A%B1%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0" Type="http://schemas.openxmlformats.org/officeDocument/2006/relationships/hyperlink" Target="https://mail.google.com/mail/?view=cm&amp;fs=1&amp;to=seito140%40example.com&amp;su=%E5%A4%AA%E7%94%B0%E5%84%AA%E5%A5%88%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61" Type="http://schemas.openxmlformats.org/officeDocument/2006/relationships/hyperlink" Target="https://mail.google.com/mail/?view=cm&amp;fs=1&amp;to=seito161%40example.com&amp;su=%E6%9D%BE%E6%9C%AC%E7%B5%90%E7%BF%94%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6%A9%8B%E6%9C%AC%E8%8E%89%E5%AD%90%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23" Type="http://schemas.openxmlformats.org/officeDocument/2006/relationships/hyperlink" Target="https://mail.google.com/mail/?view=cm&amp;fs=1&amp;to=seito023%40example.com&amp;su=%E6%A9%8B%E6%9C%AC%E9%A2%AF%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9" Type="http://schemas.openxmlformats.org/officeDocument/2006/relationships/hyperlink" Target="https://mail.google.com/mail/?view=cm&amp;fs=1&amp;to=seito119%40example.com&amp;su=%E6%9E%97%E7%BF%94%E5%A4%A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44" Type="http://schemas.openxmlformats.org/officeDocument/2006/relationships/hyperlink" Target="https://mail.google.com/mail/?view=cm&amp;fs=1&amp;to=seito044%40example.com&amp;su=%E4%BA%95%E4%B8%8A%E7%BE%8E%E5%92%B2%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60" Type="http://schemas.openxmlformats.org/officeDocument/2006/relationships/hyperlink" Target="https://mail.google.com/mail/?view=cm&amp;fs=1&amp;to=seito060%40example.com&amp;su=%E5%B0%8F%E6%9E%97%E9%A2%AF%E5%A4%AA%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65" Type="http://schemas.openxmlformats.org/officeDocument/2006/relationships/hyperlink" Target="https://mail.google.com/mail/?view=cm&amp;fs=1&amp;to=seito065%40example.com&amp;su=%E4%B8%AD%E9%87%8E%E4%B8%80%E8%BC%9D%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81" Type="http://schemas.openxmlformats.org/officeDocument/2006/relationships/hyperlink" Target="https://mail.google.com/mail/?view=cm&amp;fs=1&amp;to=seito081%40example.com&amp;su=%E6%9D%BE%E6%9C%AC%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6" Type="http://schemas.openxmlformats.org/officeDocument/2006/relationships/hyperlink" Target="https://mail.google.com/mail/?view=cm&amp;fs=1&amp;to=seito086%40example.com&amp;su=%E5%B0%8F%E5%B7%9D%E9%A7%B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0" Type="http://schemas.openxmlformats.org/officeDocument/2006/relationships/hyperlink" Target="https://mail.google.com/mail/?view=cm&amp;fs=1&amp;to=seito130%40example.com&amp;su=%E4%BD%90%E8%97%A4%E8%92%B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5" Type="http://schemas.openxmlformats.org/officeDocument/2006/relationships/hyperlink" Target="https://mail.google.com/mail/?view=cm&amp;fs=1&amp;to=seito135%40example.com&amp;su=%E9%98%BF%E9%83%A8%E8%8A%B1%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51" Type="http://schemas.openxmlformats.org/officeDocument/2006/relationships/hyperlink" Target="https://mail.google.com/mail/?view=cm&amp;fs=1&amp;to=seito151%40example.com&amp;su=%E8%BF%91%E8%97%A4%E5%A4%A7%E7%BF%94%E6%A7%98%202026%E5%B9%B48%E6%9C%88%E5%88%86%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56" Type="http://schemas.openxmlformats.org/officeDocument/2006/relationships/hyperlink" Target="https://mail.google.com/mail/?view=cm&amp;fs=1&amp;to=seito156%40example.com&amp;su=%E4%BC%8A%E8%97%A4%E7%85%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77" Type="http://schemas.openxmlformats.org/officeDocument/2006/relationships/hyperlink" Target="https://mail.google.com/mail/?view=cm&amp;fs=1&amp;to=seito177%40example.com&amp;su=%E8%97%A4%E4%BA%95%E7%BE%8E%E6%A1%9C%E6%A7%98%202026%E5%B9%B48%E6%9C%88%E5%88%86%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72" Type="http://schemas.openxmlformats.org/officeDocument/2006/relationships/hyperlink" Target="https://mail.google.com/mail/?view=cm&amp;fs=1&amp;to=seito172%40example.com&amp;su=%E6%9E%97%E6%B5%B7%E6%96%97%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3" Type="http://schemas.openxmlformats.org/officeDocument/2006/relationships/hyperlink" Target="https://mail.google.com/mail/?view=cm&amp;fs=1&amp;to=seito013%40example.com&amp;su=%E7%AB%B9%E5%86%85%E8%93%AE%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 Type="http://schemas.openxmlformats.org/officeDocument/2006/relationships/hyperlink" Target="https://mail.google.com/mail/?view=cm&amp;fs=1&amp;to=seito018%40example.com&amp;su=%E5%90%89%E7%94%B0%E9%99%BD%E5%90%9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9" Type="http://schemas.openxmlformats.org/officeDocument/2006/relationships/hyperlink" Target="https://mail.google.com/mail/?view=cm&amp;fs=1&amp;to=seito039%40example.com&amp;su=%E5%B2%A1%E6%9C%AC%E8%92%BC%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09" Type="http://schemas.openxmlformats.org/officeDocument/2006/relationships/hyperlink" Target="https://mail.google.com/mail/?view=cm&amp;fs=1&amp;to=seito109%40example.com&amp;su=%E6%9E%97%E5%A4%A7%E7%BF%94%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34" Type="http://schemas.openxmlformats.org/officeDocument/2006/relationships/hyperlink" Target="https://mail.google.com/mail/?view=cm&amp;fs=1&amp;to=seito034%40example.com&amp;su=%E5%B0%8F%E9%87%8E%E6%A5%93%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50" Type="http://schemas.openxmlformats.org/officeDocument/2006/relationships/hyperlink" Target="https://mail.google.com/mail/?view=cm&amp;fs=1&amp;to=seito050%40example.com&amp;su=%E5%B0%8F%E5%B7%9D%E5%BF%83%E6%98%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5" Type="http://schemas.openxmlformats.org/officeDocument/2006/relationships/hyperlink" Target="https://mail.google.com/mail/?view=cm&amp;fs=1&amp;to=seito055%40example.com&amp;su=%E6%A9%8B%E6%9C%AC%E8%93%AE%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76" Type="http://schemas.openxmlformats.org/officeDocument/2006/relationships/hyperlink" Target="https://mail.google.com/mail/?view=cm&amp;fs=1&amp;to=seito076%40example.com&amp;su=%E5%B0%8F%E5%B7%9D%E7%BE%8E%E6%9C%88%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7" Type="http://schemas.openxmlformats.org/officeDocument/2006/relationships/hyperlink" Target="https://mail.google.com/mail/?view=cm&amp;fs=1&amp;to=seito097%40example.com&amp;su=%E5%B1%B1%E6%9C%AC%E6%84%9B%E6%A7%98%202026%E5%B9%B48%E6%9C%88%E5%88%86%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04" Type="http://schemas.openxmlformats.org/officeDocument/2006/relationships/hyperlink" Target="https://mail.google.com/mail/?view=cm&amp;fs=1&amp;to=seito104%40example.com&amp;su=%E6%9D%BE%E6%9C%AC%E5%A4%A7%E8%BC%9D%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0" Type="http://schemas.openxmlformats.org/officeDocument/2006/relationships/hyperlink" Target="https://mail.google.com/mail/?view=cm&amp;fs=1&amp;to=seito120%40example.com&amp;su=%E5%B2%A1%E7%94%B0%E8%A9%A9%E7%B9%94%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5" Type="http://schemas.openxmlformats.org/officeDocument/2006/relationships/hyperlink" Target="https://mail.google.com/mail/?view=cm&amp;fs=1&amp;to=seito125%40example.com&amp;su=%E9%95%B7%E8%B0%B7%E5%B7%9D%E5%92%B2%E8%89%AF%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1" Type="http://schemas.openxmlformats.org/officeDocument/2006/relationships/hyperlink" Target="https://mail.google.com/mail/?view=cm&amp;fs=1&amp;to=seito141%40example.com&amp;su=%E5%B1%B1%E6%9C%AC%E7%BE%8E%E6%9C%88%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46" Type="http://schemas.openxmlformats.org/officeDocument/2006/relationships/hyperlink" Target="https://mail.google.com/mail/?view=cm&amp;fs=1&amp;to=seito146%40example.com&amp;su=%E9%81%A0%E8%97%A4%E5%A4%A7%E5%92%8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7" Type="http://schemas.openxmlformats.org/officeDocument/2006/relationships/hyperlink" Target="https://mail.google.com/mail/?view=cm&amp;fs=1&amp;to=seito167%40example.com&amp;su=%E5%B2%A1%E7%94%B0%E8%91%B5%E6%A7%98%202026%E5%B9%B48%E6%9C%88%E5%88%86%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 Type="http://schemas.openxmlformats.org/officeDocument/2006/relationships/hyperlink" Target="https://mail.google.com/mail/?view=cm&amp;fs=1&amp;to=seito007%40example.com&amp;su=%E4%BD%90%E8%97%A4%E9%A7%BF%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1" Type="http://schemas.openxmlformats.org/officeDocument/2006/relationships/hyperlink" Target="https://mail.google.com/mail/?view=cm&amp;fs=1&amp;to=seito071%40example.com&amp;su=%E9%88%B4%E6%9C%A8%E7%90%B4%E9%9F%B3%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92" Type="http://schemas.openxmlformats.org/officeDocument/2006/relationships/hyperlink" Target="https://mail.google.com/mail/?view=cm&amp;fs=1&amp;to=seito092%40example.com&amp;su=%E4%BA%95%E4%B8%8A%E8%A9%A9%E7%B9%94%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62" Type="http://schemas.openxmlformats.org/officeDocument/2006/relationships/hyperlink" Target="https://mail.google.com/mail/?view=cm&amp;fs=1&amp;to=seito162%40example.com&amp;su=%E5%B1%B1%E5%B4%8E%E7%BE%8E%E5%92%B2%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5%B1%B1%E5%B4%8E%E5%92%B2%E8%89%AF%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9" Type="http://schemas.openxmlformats.org/officeDocument/2006/relationships/hyperlink" Target="https://mail.google.com/mail/?view=cm&amp;fs=1&amp;to=seito029%40example.com&amp;su=%E8%BF%91%E8%97%A4%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24" Type="http://schemas.openxmlformats.org/officeDocument/2006/relationships/hyperlink" Target="https://mail.google.com/mail/?view=cm&amp;fs=1&amp;to=seito024%40example.com&amp;su=%E6%9E%97%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0" Type="http://schemas.openxmlformats.org/officeDocument/2006/relationships/hyperlink" Target="https://mail.google.com/mail/?view=cm&amp;fs=1&amp;to=seito040%40example.com&amp;su=%E5%B0%8F%E6%9E%97%E7%BE%8E%E6%9C%88%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45" Type="http://schemas.openxmlformats.org/officeDocument/2006/relationships/hyperlink" Target="https://mail.google.com/mail/?view=cm&amp;fs=1&amp;to=seito045%40example.com&amp;su=%E6%B8%A1%E8%BE%BA%E8%91%B5%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6" Type="http://schemas.openxmlformats.org/officeDocument/2006/relationships/hyperlink" Target="https://mail.google.com/mail/?view=cm&amp;fs=1&amp;to=seito066%40example.com&amp;su=%E5%BE%8C%E8%97%A4%E6%B9%8A%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87" Type="http://schemas.openxmlformats.org/officeDocument/2006/relationships/hyperlink" Target="https://mail.google.com/mail/?view=cm&amp;fs=1&amp;to=seito087%40example.com&amp;su=%E4%B8%AD%E9%87%8E%E5%81%A5%E5%A4%AA%E6%A7%98%202026%E5%B9%B48%E6%9C%88%E5%88%86%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10" Type="http://schemas.openxmlformats.org/officeDocument/2006/relationships/hyperlink" Target="https://mail.google.com/mail/?view=cm&amp;fs=1&amp;to=seito110%40example.com&amp;su=%E9%9D%92%E6%9C%A8%E9%99%BD%E8%8F%9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15" Type="http://schemas.openxmlformats.org/officeDocument/2006/relationships/hyperlink" Target="https://mail.google.com/mail/?view=cm&amp;fs=1&amp;to=seito115%40example.com&amp;su=%E5%8A%A0%E8%97%A4%E6%82%A0%E6%96%97%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31" Type="http://schemas.openxmlformats.org/officeDocument/2006/relationships/hyperlink" Target="https://mail.google.com/mail/?view=cm&amp;fs=1&amp;to=seito131%40example.com&amp;su=%E5%89%8D%E7%94%B0%E7%B5%90%E7%BF%94%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36" Type="http://schemas.openxmlformats.org/officeDocument/2006/relationships/hyperlink" Target="https://mail.google.com/mail/?view=cm&amp;fs=1&amp;to=seito136%40example.com&amp;su=%E8%BF%91%E8%97%A4%E5%A4%A7%E5%92%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7" Type="http://schemas.openxmlformats.org/officeDocument/2006/relationships/hyperlink" Target="https://mail.google.com/mail/?view=cm&amp;fs=1&amp;to=seito157%40example.com&amp;su=%E9%87%91%E5%AD%90%E7%BE%8E%E6%A1%9C%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8" Type="http://schemas.openxmlformats.org/officeDocument/2006/relationships/hyperlink" Target="https://mail.google.com/mail/?view=cm&amp;fs=1&amp;to=seito178%40example.com&amp;su=%E5%B1%B1%E5%8F%A3%E7%BE%8E%E6%A1%9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61" Type="http://schemas.openxmlformats.org/officeDocument/2006/relationships/hyperlink" Target="https://mail.google.com/mail/?view=cm&amp;fs=1&amp;to=seito061%40example.com&amp;su=%E4%BC%8A%E8%97%A4%E9%A7%BF%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82" Type="http://schemas.openxmlformats.org/officeDocument/2006/relationships/hyperlink" Target="https://mail.google.com/mail/?view=cm&amp;fs=1&amp;to=seito082%40example.com&amp;su=%E5%B0%8F%E9%87%8E%E7%B5%90%E8%A1%A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52" Type="http://schemas.openxmlformats.org/officeDocument/2006/relationships/hyperlink" Target="https://mail.google.com/mail/?view=cm&amp;fs=1&amp;to=seito152%40example.com&amp;su=%E4%BD%90%E8%97%A4%E6%82%A0%E7%9C%9F%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73" Type="http://schemas.openxmlformats.org/officeDocument/2006/relationships/hyperlink" Target="https://mail.google.com/mail/?view=cm&amp;fs=1&amp;to=seito173%40example.com&amp;su=%E4%BC%8A%E8%97%A4%E8%90%8C%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9" Type="http://schemas.openxmlformats.org/officeDocument/2006/relationships/hyperlink" Target="https://mail.google.com/mail/?view=cm&amp;fs=1&amp;to=seito019%40example.com&amp;su=%E5%B1%B1%E4%B8%8B%E5%92%B2%E8%89%AF%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4" Type="http://schemas.openxmlformats.org/officeDocument/2006/relationships/hyperlink" Target="https://mail.google.com/mail/?view=cm&amp;fs=1&amp;to=seito014%40example.com&amp;su=%E6%9C%A8%E6%9D%91%E5%84%AA%E5%A5%88%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30" Type="http://schemas.openxmlformats.org/officeDocument/2006/relationships/hyperlink" Target="https://mail.google.com/mail/?view=cm&amp;fs=1&amp;to=seito030%40example.com&amp;su=%E7%94%B0%E4%B8%AD%E9%81%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35" Type="http://schemas.openxmlformats.org/officeDocument/2006/relationships/hyperlink" Target="https://mail.google.com/mail/?view=cm&amp;fs=1&amp;to=seito035%40example.com&amp;su=%E5%B1%B1%E4%B8%8B%E6%82%A0%E6%96%97%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6" Type="http://schemas.openxmlformats.org/officeDocument/2006/relationships/hyperlink" Target="https://mail.google.com/mail/?view=cm&amp;fs=1&amp;to=seito056%40example.com&amp;su=%E9%81%A0%E8%97%A4%E5%BD%A9%E8%8A%B1%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77" Type="http://schemas.openxmlformats.org/officeDocument/2006/relationships/hyperlink" Target="https://mail.google.com/mail/?view=cm&amp;fs=1&amp;to=seito077%40example.com&amp;su=%E5%B2%A1%E6%9C%AC%E9%99%BD%E5%90%91%E6%A7%98%202026%E5%B9%B48%E6%9C%88%E5%88%86%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00" Type="http://schemas.openxmlformats.org/officeDocument/2006/relationships/hyperlink" Target="https://mail.google.com/mail/?view=cm&amp;fs=1&amp;to=seito100%40example.com&amp;su=%E9%98%BF%E9%83%A8%E6%8B%93%E4%B9%9F%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5" Type="http://schemas.openxmlformats.org/officeDocument/2006/relationships/hyperlink" Target="https://mail.google.com/mail/?view=cm&amp;fs=1&amp;to=seito105%40example.com&amp;su=%E5%A4%AA%E7%94%B0%E6%8B%93%E4%B9%9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6" Type="http://schemas.openxmlformats.org/officeDocument/2006/relationships/hyperlink" Target="https://mail.google.com/mail/?view=cm&amp;fs=1&amp;to=seito126%40example.com&amp;su=%E9%95%B7%E8%B0%B7%E5%B7%9D%E7%85%8C%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47" Type="http://schemas.openxmlformats.org/officeDocument/2006/relationships/hyperlink" Target="https://mail.google.com/mail/?view=cm&amp;fs=1&amp;to=seito147%40example.com&amp;su=%E9%87%91%E5%AD%90%E5%BF%83%E6%98%A5%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68" Type="http://schemas.openxmlformats.org/officeDocument/2006/relationships/hyperlink" Target="https://mail.google.com/mail/?view=cm&amp;fs=1&amp;to=seito168%40example.com&amp;su=%E7%94%B0%E6%9D%91%E7%90%B4%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8" Type="http://schemas.openxmlformats.org/officeDocument/2006/relationships/hyperlink" Target="https://mail.google.com/mail/?view=cm&amp;fs=1&amp;to=seito008%40example.com&amp;su=%E9%98%BF%E9%83%A8%E6%82%A0%E7%9C%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51" Type="http://schemas.openxmlformats.org/officeDocument/2006/relationships/hyperlink" Target="https://mail.google.com/mail/?view=cm&amp;fs=1&amp;to=seito051%40example.com&amp;su=%E9%9D%92%E6%9C%A8%E5%BD%A9%E8%8A%B1%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2" Type="http://schemas.openxmlformats.org/officeDocument/2006/relationships/hyperlink" Target="https://mail.google.com/mail/?view=cm&amp;fs=1&amp;to=seito072%40example.com&amp;su=%E5%B2%A1%E6%9C%AC%E5%BD%A9%E8%8A%B1%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3" Type="http://schemas.openxmlformats.org/officeDocument/2006/relationships/hyperlink" Target="https://mail.google.com/mail/?view=cm&amp;fs=1&amp;to=seito093%40example.com&amp;su=%E4%B8%AD%E5%B3%B6%E7%90%B4%E9%9F%B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8" Type="http://schemas.openxmlformats.org/officeDocument/2006/relationships/hyperlink" Target="https://mail.google.com/mail/?view=cm&amp;fs=1&amp;to=seito098%40example.com&amp;su=%E5%B0%8F%E9%87%8E%E7%BE%8E%E5%92%B2%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21" Type="http://schemas.openxmlformats.org/officeDocument/2006/relationships/hyperlink" Target="https://mail.google.com/mail/?view=cm&amp;fs=1&amp;to=seito121%40example.com&amp;su=%E5%BE%8C%E8%97%A4%E8%92%BC%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42" Type="http://schemas.openxmlformats.org/officeDocument/2006/relationships/hyperlink" Target="https://mail.google.com/mail/?view=cm&amp;fs=1&amp;to=seito142%40example.com&amp;su=%E6%9C%A8%E6%9D%91%E5%BF%83%E6%98%A5%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63" Type="http://schemas.openxmlformats.org/officeDocument/2006/relationships/hyperlink" Target="https://mail.google.com/mail/?view=cm&amp;fs=1&amp;to=seito163%40example.com&amp;su=%E5%B1%B1%E5%8F%A3%E5%A4%A7%E7%BF%94%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3" Type="http://schemas.openxmlformats.org/officeDocument/2006/relationships/hyperlink" Target="https://mail.google.com/mail/?view=cm&amp;fs=1&amp;to=seito003%40example.com&amp;su=%E4%BD%90%E3%80%85%E6%9C%A8%E6%82%A0%E6%96%97%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5" Type="http://schemas.openxmlformats.org/officeDocument/2006/relationships/hyperlink" Target="https://mail.google.com/mail/?view=cm&amp;fs=1&amp;to=seito025%40example.com&amp;su=%E9%87%91%E5%AD%90%E7%BE%8E%E5%92%B2%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6" Type="http://schemas.openxmlformats.org/officeDocument/2006/relationships/hyperlink" Target="https://mail.google.com/mail/?view=cm&amp;fs=1&amp;to=seito046%40example.com&amp;su=%E5%B1%B1%E5%B4%8E%E8%A9%A9%E7%B9%94%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67" Type="http://schemas.openxmlformats.org/officeDocument/2006/relationships/hyperlink" Target="https://mail.google.com/mail/?view=cm&amp;fs=1&amp;to=seito067%40example.com&amp;su=%E4%BD%90%E3%80%85%E6%9C%A8%E3%81%95%E3%81%8F%E3%82%89%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6" Type="http://schemas.openxmlformats.org/officeDocument/2006/relationships/hyperlink" Target="https://mail.google.com/mail/?view=cm&amp;fs=1&amp;to=seito116%40example.com&amp;su=%E7%A6%8F%E7%94%B0%E7%B5%90%E8%A1%A3%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7" Type="http://schemas.openxmlformats.org/officeDocument/2006/relationships/hyperlink" Target="https://mail.google.com/mail/?view=cm&amp;fs=1&amp;to=seito137%40example.com&amp;su=%E7%94%B0%E6%9D%91%E9%99%BD%E5%90%91%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58" Type="http://schemas.openxmlformats.org/officeDocument/2006/relationships/hyperlink" Target="https://mail.google.com/mail/?view=cm&amp;fs=1&amp;to=seito158%40example.com&amp;su=%E6%B1%A0%E7%94%B0%E5%BD%A9%E8%8A%B1%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20" Type="http://schemas.openxmlformats.org/officeDocument/2006/relationships/hyperlink" Target="https://mail.google.com/mail/?view=cm&amp;fs=1&amp;to=seito020%40example.com&amp;su=%E5%BE%8C%E8%97%A4%E6%84%9B%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41" Type="http://schemas.openxmlformats.org/officeDocument/2006/relationships/hyperlink" Target="https://mail.google.com/mail/?view=cm&amp;fs=1&amp;to=seito041%40example.com&amp;su=%E6%B8%A1%E8%BE%BA%E6%84%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62" Type="http://schemas.openxmlformats.org/officeDocument/2006/relationships/hyperlink" Target="https://mail.google.com/mail/?view=cm&amp;fs=1&amp;to=seito062%40example.com&amp;su=%E5%B1%B1%E4%B8%8B%E5%A4%A7%E5%92%8C%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83" Type="http://schemas.openxmlformats.org/officeDocument/2006/relationships/hyperlink" Target="https://mail.google.com/mail/?view=cm&amp;fs=1&amp;to=seito083%40example.com&amp;su=%E8%97%A4%E4%BA%95%E9%99%BD%E5%90%91%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88" Type="http://schemas.openxmlformats.org/officeDocument/2006/relationships/hyperlink" Target="https://mail.google.com/mail/?view=cm&amp;fs=1&amp;to=seito088%40example.com&amp;su=%E7%94%B0%E4%B8%AD%E7%B5%90%E7%BF%94%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11" Type="http://schemas.openxmlformats.org/officeDocument/2006/relationships/hyperlink" Target="https://mail.google.com/mail/?view=cm&amp;fs=1&amp;to=seito111%40example.com&amp;su=%E6%B8%85%E6%B0%B4%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2" Type="http://schemas.openxmlformats.org/officeDocument/2006/relationships/hyperlink" Target="https://mail.google.com/mail/?view=cm&amp;fs=1&amp;to=seito132%40example.com&amp;su=%E7%AB%B9%E5%86%85%E8%92%BC%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53" Type="http://schemas.openxmlformats.org/officeDocument/2006/relationships/hyperlink" Target="https://mail.google.com/mail/?view=cm&amp;fs=1&amp;to=seito153%40example.com&amp;su=%E9%95%B7%E8%B0%B7%E5%B7%9D%E7%BE%8E%E6%9C%88%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74" Type="http://schemas.openxmlformats.org/officeDocument/2006/relationships/hyperlink" Target="https://mail.google.com/mail/?view=cm&amp;fs=1&amp;to=seito174%40example.com&amp;su=%E8%BF%91%E8%97%A4%E8%93%AE%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9" Type="http://schemas.openxmlformats.org/officeDocument/2006/relationships/hyperlink" Target="https://mail.google.com/mail/?view=cm&amp;fs=1&amp;to=seito179%40example.com&amp;su=%E7%AB%B9%E5%86%85%E8%8A%B1%E9%9F%B3%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5" Type="http://schemas.openxmlformats.org/officeDocument/2006/relationships/hyperlink" Target="https://mail.google.com/mail/?view=cm&amp;fs=1&amp;to=seito015%40example.com&amp;su=%E6%9D%91%E4%B8%8A%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36" Type="http://schemas.openxmlformats.org/officeDocument/2006/relationships/hyperlink" Target="https://mail.google.com/mail/?view=cm&amp;fs=1&amp;to=seito036%40example.com&amp;su=%E8%97%A4%E7%94%B0%E8%93%AE%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57" Type="http://schemas.openxmlformats.org/officeDocument/2006/relationships/hyperlink" Target="https://mail.google.com/mail/?view=cm&amp;fs=1&amp;to=seito057%40example.com&amp;su=%E6%9E%97%E4%B8%80%E8%BC%9D%E6%A7%98%202026%E5%B9%B48%E6%9C%88%E5%88%86%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06" Type="http://schemas.openxmlformats.org/officeDocument/2006/relationships/hyperlink" Target="https://mail.google.com/mail/?view=cm&amp;fs=1&amp;to=seito106%40example.com&amp;su=%E4%B8%AD%E5%B3%B6%E6%82%A0%E7%9C%9F%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27" Type="http://schemas.openxmlformats.org/officeDocument/2006/relationships/hyperlink" Target="https://mail.google.com/mail/?view=cm&amp;fs=1&amp;to=seito127%40example.com&amp;su=%E5%90%89%E7%94%B0%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 Type="http://schemas.openxmlformats.org/officeDocument/2006/relationships/hyperlink" Target="https://mail.google.com/mail/?view=cm&amp;fs=1&amp;to=seito010%40example.com&amp;su=%E6%9C%A8%E6%9D%91%E7%BE%8E%E7%B5%90%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31" Type="http://schemas.openxmlformats.org/officeDocument/2006/relationships/hyperlink" Target="https://mail.google.com/mail/?view=cm&amp;fs=1&amp;to=seito031%40example.com&amp;su=%E6%A3%AE%E7%B5%90%E8%A1%A3%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2" Type="http://schemas.openxmlformats.org/officeDocument/2006/relationships/hyperlink" Target="https://mail.google.com/mail/?view=cm&amp;fs=1&amp;to=seito052%40example.com&amp;su=%E7%A6%8F%E7%94%B0%E8%93%AE%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3" Type="http://schemas.openxmlformats.org/officeDocument/2006/relationships/hyperlink" Target="https://mail.google.com/mail/?view=cm&amp;fs=1&amp;to=seito073%40example.com&amp;su=%E4%BA%95%E4%B8%8A%E8%93%AE%E6%A7%98%202026%E5%B9%B48%E6%9C%88%E5%88%86%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8" Type="http://schemas.openxmlformats.org/officeDocument/2006/relationships/hyperlink" Target="https://mail.google.com/mail/?view=cm&amp;fs=1&amp;to=seito078%40example.com&amp;su=%E5%B0%8F%E5%B7%9D%E9%99%BD%E5%90%91%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94" Type="http://schemas.openxmlformats.org/officeDocument/2006/relationships/hyperlink" Target="https://mail.google.com/mail/?view=cm&amp;fs=1&amp;to=seito094%40example.com&amp;su=%E5%B1%B1%E6%9C%AC%E6%8B%93%E4%B9%9F%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99" Type="http://schemas.openxmlformats.org/officeDocument/2006/relationships/hyperlink" Target="https://mail.google.com/mail/?view=cm&amp;fs=1&amp;to=seito099%40example.com&amp;su=%E7%9F%B3%E5%B7%9D%E7%BE%8E%E5%92%B2%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01" Type="http://schemas.openxmlformats.org/officeDocument/2006/relationships/hyperlink" Target="https://mail.google.com/mail/?view=cm&amp;fs=1&amp;to=seito101%40example.com&amp;su=%E8%A5%BF%E6%9D%91%E5%BD%A9%E8%8A%B1%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22" Type="http://schemas.openxmlformats.org/officeDocument/2006/relationships/hyperlink" Target="https://mail.google.com/mail/?view=cm&amp;fs=1&amp;to=seito122%40example.com&amp;su=%E6%B8%A1%E8%BE%BA%E9%99%BD%E8%8F%9C%E4%B9%8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3" Type="http://schemas.openxmlformats.org/officeDocument/2006/relationships/hyperlink" Target="https://mail.google.com/mail/?view=cm&amp;fs=1&amp;to=seito143%40example.com&amp;su=%E5%B1%B1%E5%8F%A3%E6%9C%9D%E9%99%BD%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8" Type="http://schemas.openxmlformats.org/officeDocument/2006/relationships/hyperlink" Target="https://mail.google.com/mail/?view=cm&amp;fs=1&amp;to=seito148%40example.com&amp;su=%E7%94%B0%E4%B8%AD%E7%BE%8E%E6%A1%9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4" Type="http://schemas.openxmlformats.org/officeDocument/2006/relationships/hyperlink" Target="https://mail.google.com/mail/?view=cm&amp;fs=1&amp;to=seito164%40example.com&amp;su=%E9%88%B4%E6%9C%A8%E9%81%A5%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69" Type="http://schemas.openxmlformats.org/officeDocument/2006/relationships/hyperlink" Target="https://mail.google.com/mail/?view=cm&amp;fs=1&amp;to=seito169%40example.com&amp;su=%E7%AB%B9%E5%86%85%E6%A5%9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 Type="http://schemas.openxmlformats.org/officeDocument/2006/relationships/hyperlink" Target="https://mail.google.com/mail/?view=cm&amp;fs=1&amp;to=seito004%40example.com&amp;su=%E7%94%B0%E4%B8%AD%E5%A4%A7%E5%92%8C%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 Type="http://schemas.openxmlformats.org/officeDocument/2006/relationships/hyperlink" Target="https://mail.google.com/mail/?view=cm&amp;fs=1&amp;to=seito009%40example.com&amp;su=%E7%9F%B3%E5%B7%9D%E5%87%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80" Type="http://schemas.openxmlformats.org/officeDocument/2006/relationships/hyperlink" Target="https://mail.google.com/mail/?view=cm&amp;fs=1&amp;to=seito180%40example.com&amp;su=%E5%89%8D%E7%94%B0%E8%91%B5%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6" Type="http://schemas.openxmlformats.org/officeDocument/2006/relationships/hyperlink" Target="https://mail.google.com/mail/?view=cm&amp;fs=1&amp;to=seito026%40example.com&amp;su=%E5%B1%B1%E7%94%B0%E7%B5%90%E7%BF%94%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7" Type="http://schemas.openxmlformats.org/officeDocument/2006/relationships/hyperlink" Target="https://mail.google.com/mail/?view=cm&amp;fs=1&amp;to=seito047%40example.com&amp;su=%E7%9F%B3%E4%BA%95%E5%BF%83%E6%98%A5%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68" Type="http://schemas.openxmlformats.org/officeDocument/2006/relationships/hyperlink" Target="https://mail.google.com/mail/?view=cm&amp;fs=1&amp;to=seito068%40example.com&amp;su=%E6%9D%BE%E6%9C%AC%E6%8B%93%E4%B9%9F%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9" Type="http://schemas.openxmlformats.org/officeDocument/2006/relationships/hyperlink" Target="https://mail.google.com/mail/?view=cm&amp;fs=1&amp;to=seito089%40example.com&amp;su=%E4%BC%8A%E8%97%A4%E7%BF%BC%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12" Type="http://schemas.openxmlformats.org/officeDocument/2006/relationships/hyperlink" Target="https://mail.google.com/mail/?view=cm&amp;fs=1&amp;to=seito112%40example.com&amp;su=%E4%BA%95%E4%B8%8A%E6%9C%9D%E9%99%BD%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33" Type="http://schemas.openxmlformats.org/officeDocument/2006/relationships/hyperlink" Target="https://mail.google.com/mail/?view=cm&amp;fs=1&amp;to=seito133%40example.com&amp;su=%E5%8A%A0%E8%97%A4%E8%91%B5%E6%A7%98%202026%E5%B9%B48%E6%9C%88%E5%88%86%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154" Type="http://schemas.openxmlformats.org/officeDocument/2006/relationships/hyperlink" Target="https://mail.google.com/mail/?view=cm&amp;fs=1&amp;to=seito154%40example.com&amp;su=%E8%BF%91%E8%97%A4%E6%8B%93%E4%B9%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5" Type="http://schemas.openxmlformats.org/officeDocument/2006/relationships/hyperlink" Target="https://mail.google.com/mail/?view=cm&amp;fs=1&amp;to=seito175%40example.com&amp;su=%E4%BA%95%E4%B8%8A%E5%B0%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6" Type="http://schemas.openxmlformats.org/officeDocument/2006/relationships/hyperlink" Target="https://mail.google.com/mail/?view=cm&amp;fs=1&amp;to=seito016%40example.com&amp;su=%E7%9F%B3%E5%B7%9D%E5%A4%A7%E7%BF%94%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37" Type="http://schemas.openxmlformats.org/officeDocument/2006/relationships/hyperlink" Target="https://mail.google.com/mail/?view=cm&amp;fs=1&amp;to=seito037%40example.com&amp;su=%E6%B8%A1%E8%BE%BA%E7%BE%8E%E7%B5%90%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8" Type="http://schemas.openxmlformats.org/officeDocument/2006/relationships/hyperlink" Target="https://mail.google.com/mail/?view=cm&amp;fs=1&amp;to=seito058%40example.com&amp;su=%E5%B0%8F%E9%87%8E%E5%92%B2%E8%89%AF%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9" Type="http://schemas.openxmlformats.org/officeDocument/2006/relationships/hyperlink" Target="https://mail.google.com/mail/?view=cm&amp;fs=1&amp;to=seito079%40example.com&amp;su=%E7%94%B0%E4%B8%AD%E7%B5%90%E8%A1%A3%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02" Type="http://schemas.openxmlformats.org/officeDocument/2006/relationships/hyperlink" Target="https://mail.google.com/mail/?view=cm&amp;fs=1&amp;to=seito102%40example.com&amp;su=%E6%A3%AE%E5%81%A5%E5%A4%AA%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3" Type="http://schemas.openxmlformats.org/officeDocument/2006/relationships/hyperlink" Target="https://mail.google.com/mail/?view=cm&amp;fs=1&amp;to=seito123%40example.com&amp;su=%E5%B0%8F%E5%B7%9D%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44" Type="http://schemas.openxmlformats.org/officeDocument/2006/relationships/hyperlink" Target="https://mail.google.com/mail/?view=cm&amp;fs=1&amp;to=seito144%40example.com&amp;su=%E4%BC%8A%E8%97%A4%E6%A5%93%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90" Type="http://schemas.openxmlformats.org/officeDocument/2006/relationships/hyperlink" Target="https://mail.google.com/mail/?view=cm&amp;fs=1&amp;to=seito090%40example.com&amp;su=%E5%BE%8C%E8%97%A4%E9%A2%AF%E5%A4%AA%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65" Type="http://schemas.openxmlformats.org/officeDocument/2006/relationships/hyperlink" Target="https://mail.google.com/mail/?view=cm&amp;fs=1&amp;to=seito165%40example.com&amp;su=%E5%B0%8F%E9%87%8E%E6%9C%9D%E9%99%BD%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27" Type="http://schemas.openxmlformats.org/officeDocument/2006/relationships/hyperlink" Target="https://mail.google.com/mail/?view=cm&amp;fs=1&amp;to=seito027%40example.com&amp;su=%E7%94%B0%E6%9D%91%E6%8B%93%E4%B9%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8" Type="http://schemas.openxmlformats.org/officeDocument/2006/relationships/hyperlink" Target="https://mail.google.com/mail/?view=cm&amp;fs=1&amp;to=seito048%40example.com&amp;su=%E4%BD%90%E8%97%A4%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9" Type="http://schemas.openxmlformats.org/officeDocument/2006/relationships/hyperlink" Target="https://mail.google.com/mail/?view=cm&amp;fs=1&amp;to=seito069%40example.com&amp;su=%E9%AB%98%E6%A9%8B%E9%99%BD%E8%8F%9C%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13" Type="http://schemas.openxmlformats.org/officeDocument/2006/relationships/hyperlink" Target="https://mail.google.com/mail/?view=cm&amp;fs=1&amp;to=seito113%40example.com&amp;su=%E4%B8%AD%E9%87%8E%E7%BE%8E%E6%A1%9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4" Type="http://schemas.openxmlformats.org/officeDocument/2006/relationships/hyperlink" Target="https://mail.google.com/mail/?view=cm&amp;fs=1&amp;to=seito134%40example.com&amp;su=%E4%BD%90%E8%97%A4%E8%90%8C%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0" Type="http://schemas.openxmlformats.org/officeDocument/2006/relationships/hyperlink" Target="https://mail.google.com/mail/?view=cm&amp;fs=1&amp;to=seito080%40example.com&amp;su=%E6%A9%8B%E6%9C%AC%E7%85%8C%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55" Type="http://schemas.openxmlformats.org/officeDocument/2006/relationships/hyperlink" Target="https://mail.google.com/mail/?view=cm&amp;fs=1&amp;to=seito155%40example.com&amp;su=%E4%B8%AD%E6%9D%91%E9%A7%BF%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76" Type="http://schemas.openxmlformats.org/officeDocument/2006/relationships/hyperlink" Target="https://mail.google.com/mail/?view=cm&amp;fs=1&amp;to=seito176%40example.com&amp;su=%E8%A5%BF%E6%9D%91%E5%B0%8A%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7" Type="http://schemas.openxmlformats.org/officeDocument/2006/relationships/hyperlink" Target="https://mail.google.com/mail/?view=cm&amp;fs=1&amp;to=seito017%40example.com&amp;su=%E5%A4%AA%E7%94%B0%E5%87%9B%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38" Type="http://schemas.openxmlformats.org/officeDocument/2006/relationships/hyperlink" Target="https://mail.google.com/mail/?view=cm&amp;fs=1&amp;to=seito038%40example.com&amp;su=%E6%96%8E%E8%97%A4%E8%91%B5%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9" Type="http://schemas.openxmlformats.org/officeDocument/2006/relationships/hyperlink" Target="https://mail.google.com/mail/?view=cm&amp;fs=1&amp;to=seito059%40example.com&amp;su=%E5%BE%8C%E8%97%A4%E7%B4%AC%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03" Type="http://schemas.openxmlformats.org/officeDocument/2006/relationships/hyperlink" Target="https://mail.google.com/mail/?view=cm&amp;fs=1&amp;to=seito103%40example.com&amp;su=%E4%BC%8A%E8%97%A4%E6%82%A0%E7%9C%9F%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24" Type="http://schemas.openxmlformats.org/officeDocument/2006/relationships/hyperlink" Target="https://mail.google.com/mail/?view=cm&amp;fs=1&amp;to=seito124%40example.com&amp;su=%E6%96%8E%E8%97%A4%E6%84%9B%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0" Type="http://schemas.openxmlformats.org/officeDocument/2006/relationships/hyperlink" Target="https://mail.google.com/mail/?view=cm&amp;fs=1&amp;to=seito070%40example.com&amp;su=%E9%9D%92%E6%9C%A8%E6%B9%8A%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91" Type="http://schemas.openxmlformats.org/officeDocument/2006/relationships/hyperlink" Target="https://mail.google.com/mail/?view=cm&amp;fs=1&amp;to=seito091%40example.com&amp;su=%E4%BA%95%E4%B8%8A%E5%A4%A7%E5%92%8C%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45" Type="http://schemas.openxmlformats.org/officeDocument/2006/relationships/hyperlink" Target="https://mail.google.com/mail/?view=cm&amp;fs=1&amp;to=seito145%40example.com&amp;su=%E6%96%8E%E8%97%A4%E4%B8%80%E8%BC%9D%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66" Type="http://schemas.openxmlformats.org/officeDocument/2006/relationships/hyperlink" Target="https://mail.google.com/mail/?view=cm&amp;fs=1&amp;to=seito166%40example.com&amp;su=%E5%B1%B1%E5%B4%8E%E7%B4%AC%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 Type="http://schemas.openxmlformats.org/officeDocument/2006/relationships/hyperlink" Target="https://mail.google.com/mail/?view=cm&amp;fs=1&amp;to=seito001%40example.com&amp;su=%E6%9D%BE%E6%9C%AC%E9%A2%AF%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8" Type="http://schemas.openxmlformats.org/officeDocument/2006/relationships/hyperlink" Target="https://mail.google.com/mail/?view=cm&amp;fs=1&amp;to=seito028%40example.com&amp;su=%E7%94%B0%E4%B8%AD%E7%90%B4%E9%9F%B3%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49" Type="http://schemas.openxmlformats.org/officeDocument/2006/relationships/hyperlink" Target="https://mail.google.com/mail/?view=cm&amp;fs=1&amp;to=seito049%40example.com&amp;su=%E7%9F%B3%E4%BA%95%E7%B5%90%E8%A1%A3%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14" Type="http://schemas.openxmlformats.org/officeDocument/2006/relationships/hyperlink" Target="https://mail.google.com/mail/?view=cm&amp;fs=1&amp;to=seito114%40example.com&amp;su=%E6%9E%97%E7%BE%8E%E6%9C%88%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mail.google.com/mail/?view=cm&amp;fs=1&amp;su=&#12463;&#12522;&#12483;&#12463;&#12486;&#12473;&#12488;" TargetMode="External"/><Relationship Id="rId1" Type="http://schemas.openxmlformats.org/officeDocument/2006/relationships/hyperlink" Target="https://ozakiray0619-000.github.io/juku-seikyu-ichiranhyo/" TargetMode="External"/><Relationship Id="rId5" Type="http://schemas.openxmlformats.org/officeDocument/2006/relationships/comments" Target="../comments2.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84"/>
  <sheetViews>
    <sheetView workbookViewId="0">
      <pane ySplit="3" topLeftCell="A4" activePane="bottomLeft" state="frozen"/>
      <selection pane="bottomLeft"/>
    </sheetView>
  </sheetViews>
  <sheetFormatPr defaultRowHeight="13" outlineLevelRow="1"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 min="15" max="15" width="20" customWidth="1"/>
  </cols>
  <sheetData>
    <row r="1" spans="1:15" ht="22" customHeight="1" x14ac:dyDescent="0.2">
      <c r="A1" s="1" t="s">
        <v>45</v>
      </c>
      <c r="B1" s="47">
        <f>SUM(SeikyuData[請求額(税込)])</f>
        <v>8318530</v>
      </c>
      <c r="C1" s="23"/>
      <c r="D1" s="23"/>
      <c r="E1" s="2"/>
      <c r="F1" s="2"/>
      <c r="G1" s="2"/>
      <c r="H1" s="2"/>
      <c r="I1" s="2"/>
      <c r="J1" s="2"/>
      <c r="K1" s="2"/>
      <c r="L1" s="2"/>
    </row>
    <row r="2" spans="1:15" ht="18" customHeight="1" x14ac:dyDescent="0.2">
      <c r="A2" s="48" t="s">
        <v>46</v>
      </c>
      <c r="B2" s="23"/>
      <c r="C2" s="23"/>
      <c r="D2" s="23"/>
      <c r="E2" s="23"/>
      <c r="F2" s="23"/>
      <c r="G2" s="23"/>
      <c r="H2" s="23"/>
      <c r="I2" s="23"/>
      <c r="J2" s="23"/>
      <c r="K2" s="23"/>
      <c r="L2" s="23"/>
      <c r="M2" s="23"/>
      <c r="N2" s="23"/>
    </row>
    <row r="3" spans="1:15" x14ac:dyDescent="0.2">
      <c r="A3" s="3" t="s">
        <v>47</v>
      </c>
      <c r="B3" s="3" t="s">
        <v>48</v>
      </c>
      <c r="C3" s="3" t="s">
        <v>16</v>
      </c>
      <c r="D3" s="3" t="s">
        <v>18</v>
      </c>
      <c r="E3" s="3" t="s">
        <v>20</v>
      </c>
      <c r="F3" s="3" t="s">
        <v>22</v>
      </c>
      <c r="G3" s="3" t="s">
        <v>23</v>
      </c>
      <c r="H3" s="3" t="s">
        <v>49</v>
      </c>
      <c r="I3" s="3" t="s">
        <v>26</v>
      </c>
      <c r="J3" s="3" t="s">
        <v>28</v>
      </c>
      <c r="K3" s="3" t="s">
        <v>50</v>
      </c>
      <c r="L3" s="3" t="s">
        <v>51</v>
      </c>
      <c r="M3" s="4" t="s">
        <v>52</v>
      </c>
      <c r="N3" s="4" t="s">
        <v>53</v>
      </c>
      <c r="O3" s="4" t="s">
        <v>54</v>
      </c>
    </row>
    <row r="4" spans="1:15" hidden="1" outlineLevel="1" x14ac:dyDescent="0.2">
      <c r="A4" s="5">
        <f t="shared" ref="A4:A35" si="0">ROW()-3</f>
        <v>1</v>
      </c>
      <c r="B4" t="s">
        <v>55</v>
      </c>
      <c r="C4" s="5" t="s">
        <v>56</v>
      </c>
      <c r="D4" s="5" t="s">
        <v>57</v>
      </c>
      <c r="E4" s="5" t="s">
        <v>42</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J4+I4+ROUND((J4+I4)*0.1,0)</f>
        <v>52800</v>
      </c>
      <c r="L4" t="s">
        <v>58</v>
      </c>
      <c r="M4" s="9" t="s">
        <v>59</v>
      </c>
      <c r="N4" s="10" t="str">
        <f t="shared" ref="N4:N35" si="4">"教室："&amp;C4&amp;"／コース："&amp;E4&amp;"／コマ数："&amp;H4&amp;"コマ／授業料："&amp;TEXT(J4,"#,##0")&amp;"円／教材費："&amp;TEXT(I4,"#,##0")&amp;"円／消費税："&amp;TEXT(ROUND((J4+I4)*0.1,0),"#,##0")&amp;"円／請求額："&amp;TEXT(K4,"#,##0")&amp;"円"</f>
        <v>教室：本校／コース：個別指導／コマ数：12コマ／授業料：42,000円／教材費：6,000円／消費税：4,800円／請求額：52,800円</v>
      </c>
      <c r="O4" t="str">
        <f t="shared" ref="O4:O35" si="5">A4&amp;"："&amp;B4</f>
        <v>1：松本颯太</v>
      </c>
    </row>
    <row r="5" spans="1:15" hidden="1" outlineLevel="1" x14ac:dyDescent="0.2">
      <c r="A5" s="5">
        <f t="shared" si="0"/>
        <v>2</v>
      </c>
      <c r="B5" t="s">
        <v>60</v>
      </c>
      <c r="C5" s="5" t="s">
        <v>56</v>
      </c>
      <c r="D5" s="5" t="s">
        <v>61</v>
      </c>
      <c r="E5" s="5" t="s">
        <v>41</v>
      </c>
      <c r="F5" s="6">
        <f>IFERROR(INDEX(TankaData[1コマ単価],MATCH(E5,TankaData[コース],0)),0)</f>
        <v>4000</v>
      </c>
      <c r="G5" s="7">
        <v>3</v>
      </c>
      <c r="H5" s="8">
        <f t="shared" si="1"/>
        <v>12</v>
      </c>
      <c r="I5" s="6">
        <f>IFERROR(INDEX(TankaData[教材費(標準)],MATCH(E5,TankaData[コース],0)),0)</f>
        <v>7000</v>
      </c>
      <c r="J5" s="6">
        <f t="shared" si="2"/>
        <v>48000</v>
      </c>
      <c r="K5" s="6">
        <f t="shared" si="3"/>
        <v>60500</v>
      </c>
      <c r="L5" t="s">
        <v>62</v>
      </c>
      <c r="M5" s="9" t="s">
        <v>59</v>
      </c>
      <c r="N5" s="10" t="str">
        <f t="shared" si="4"/>
        <v>教室：本校／コース：個別指導S／コマ数：12コマ／授業料：48,000円／教材費：7,000円／消費税：5,500円／請求額：60,500円</v>
      </c>
      <c r="O5" t="str">
        <f t="shared" si="5"/>
        <v>2：山崎咲良</v>
      </c>
    </row>
    <row r="6" spans="1:15" hidden="1" outlineLevel="1" x14ac:dyDescent="0.2">
      <c r="A6" s="5">
        <f t="shared" si="0"/>
        <v>3</v>
      </c>
      <c r="B6" t="s">
        <v>63</v>
      </c>
      <c r="C6" s="5" t="s">
        <v>56</v>
      </c>
      <c r="D6" s="5" t="s">
        <v>64</v>
      </c>
      <c r="E6" s="5" t="s">
        <v>41</v>
      </c>
      <c r="F6" s="6">
        <f>IFERROR(INDEX(TankaData[1コマ単価],MATCH(E6,TankaData[コース],0)),0)</f>
        <v>4000</v>
      </c>
      <c r="G6" s="7">
        <v>3</v>
      </c>
      <c r="H6" s="8">
        <f t="shared" si="1"/>
        <v>12</v>
      </c>
      <c r="I6" s="6">
        <f>IFERROR(INDEX(TankaData[教材費(標準)],MATCH(E6,TankaData[コース],0)),0)</f>
        <v>7000</v>
      </c>
      <c r="J6" s="6">
        <f t="shared" si="2"/>
        <v>48000</v>
      </c>
      <c r="K6" s="6">
        <f t="shared" si="3"/>
        <v>60500</v>
      </c>
      <c r="L6" t="s">
        <v>65</v>
      </c>
      <c r="M6" s="9" t="s">
        <v>59</v>
      </c>
      <c r="N6" s="10" t="str">
        <f t="shared" si="4"/>
        <v>教室：本校／コース：個別指導S／コマ数：12コマ／授業料：48,000円／教材費：7,000円／消費税：5,500円／請求額：60,500円</v>
      </c>
      <c r="O6" t="str">
        <f t="shared" si="5"/>
        <v>3：佐々木悠斗</v>
      </c>
    </row>
    <row r="7" spans="1:15" hidden="1" outlineLevel="1" x14ac:dyDescent="0.2">
      <c r="A7" s="5">
        <f t="shared" si="0"/>
        <v>4</v>
      </c>
      <c r="B7" t="s">
        <v>66</v>
      </c>
      <c r="C7" s="5" t="s">
        <v>56</v>
      </c>
      <c r="D7" s="5" t="s">
        <v>67</v>
      </c>
      <c r="E7" s="5" t="s">
        <v>43</v>
      </c>
      <c r="F7" s="6">
        <f>IFERROR(INDEX(TankaData[1コマ単価],MATCH(E7,TankaData[コース],0)),0)</f>
        <v>2500</v>
      </c>
      <c r="G7" s="7">
        <v>4</v>
      </c>
      <c r="H7" s="8">
        <f t="shared" si="1"/>
        <v>16</v>
      </c>
      <c r="I7" s="6">
        <f>IFERROR(INDEX(TankaData[教材費(標準)],MATCH(E7,TankaData[コース],0)),0)</f>
        <v>4500</v>
      </c>
      <c r="J7" s="6">
        <f t="shared" si="2"/>
        <v>40000</v>
      </c>
      <c r="K7" s="6">
        <f t="shared" si="3"/>
        <v>48950</v>
      </c>
      <c r="L7" t="s">
        <v>68</v>
      </c>
      <c r="M7" s="9" t="s">
        <v>59</v>
      </c>
      <c r="N7" s="10" t="str">
        <f t="shared" si="4"/>
        <v>教室：本校／コース：集団授業／コマ数：16コマ／授業料：40,000円／教材費：4,500円／消費税：4,450円／請求額：48,950円</v>
      </c>
      <c r="O7" t="str">
        <f t="shared" si="5"/>
        <v>4：田中大和</v>
      </c>
    </row>
    <row r="8" spans="1:15" hidden="1" outlineLevel="1" x14ac:dyDescent="0.2">
      <c r="A8" s="5">
        <f t="shared" si="0"/>
        <v>5</v>
      </c>
      <c r="B8" t="s">
        <v>69</v>
      </c>
      <c r="C8" s="5" t="s">
        <v>56</v>
      </c>
      <c r="D8" s="5" t="s">
        <v>64</v>
      </c>
      <c r="E8" s="5" t="s">
        <v>44</v>
      </c>
      <c r="F8" s="6">
        <f>IFERROR(INDEX(TankaData[1コマ単価],MATCH(E8,TankaData[コース],0)),0)</f>
        <v>2100</v>
      </c>
      <c r="G8" s="7">
        <v>3</v>
      </c>
      <c r="H8" s="8">
        <f t="shared" si="1"/>
        <v>12</v>
      </c>
      <c r="I8" s="6">
        <f>IFERROR(INDEX(TankaData[教材費(標準)],MATCH(E8,TankaData[コース],0)),0)</f>
        <v>3000</v>
      </c>
      <c r="J8" s="6">
        <f t="shared" si="2"/>
        <v>25200</v>
      </c>
      <c r="K8" s="6">
        <f t="shared" si="3"/>
        <v>31020</v>
      </c>
      <c r="L8" t="s">
        <v>70</v>
      </c>
      <c r="M8" s="9" t="s">
        <v>59</v>
      </c>
      <c r="N8" s="10" t="str">
        <f t="shared" si="4"/>
        <v>教室：本校／コース：映像授業／コマ数：12コマ／授業料：25,200円／教材費：3,000円／消費税：2,820円／請求額：31,020円</v>
      </c>
      <c r="O8" t="str">
        <f t="shared" si="5"/>
        <v>5：中野莉子</v>
      </c>
    </row>
    <row r="9" spans="1:15" hidden="1" outlineLevel="1" x14ac:dyDescent="0.2">
      <c r="A9" s="5">
        <f t="shared" si="0"/>
        <v>6</v>
      </c>
      <c r="B9" t="s">
        <v>71</v>
      </c>
      <c r="C9" s="5" t="s">
        <v>56</v>
      </c>
      <c r="D9" s="5" t="s">
        <v>67</v>
      </c>
      <c r="E9" s="5" t="s">
        <v>42</v>
      </c>
      <c r="F9" s="6">
        <f>IFERROR(INDEX(TankaData[1コマ単価],MATCH(E9,TankaData[コース],0)),0)</f>
        <v>3500</v>
      </c>
      <c r="G9" s="7">
        <v>2</v>
      </c>
      <c r="H9" s="8">
        <f t="shared" si="1"/>
        <v>8</v>
      </c>
      <c r="I9" s="6">
        <f>IFERROR(INDEX(TankaData[教材費(標準)],MATCH(E9,TankaData[コース],0)),0)</f>
        <v>6000</v>
      </c>
      <c r="J9" s="6">
        <f t="shared" si="2"/>
        <v>28000</v>
      </c>
      <c r="K9" s="6">
        <f t="shared" si="3"/>
        <v>37400</v>
      </c>
      <c r="L9" t="s">
        <v>72</v>
      </c>
      <c r="M9" s="9" t="s">
        <v>59</v>
      </c>
      <c r="N9" s="10" t="str">
        <f t="shared" si="4"/>
        <v>教室：本校／コース：個別指導／コマ数：8コマ／授業料：28,000円／教材費：6,000円／消費税：3,400円／請求額：37,400円</v>
      </c>
      <c r="O9" t="str">
        <f t="shared" si="5"/>
        <v>6：橋本莉子</v>
      </c>
    </row>
    <row r="10" spans="1:15" hidden="1" outlineLevel="1" x14ac:dyDescent="0.2">
      <c r="A10" s="5">
        <f t="shared" si="0"/>
        <v>7</v>
      </c>
      <c r="B10" t="s">
        <v>73</v>
      </c>
      <c r="C10" s="5" t="s">
        <v>56</v>
      </c>
      <c r="D10" s="5" t="s">
        <v>61</v>
      </c>
      <c r="E10" s="5" t="s">
        <v>44</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21780</v>
      </c>
      <c r="L10" t="s">
        <v>74</v>
      </c>
      <c r="M10" s="9" t="s">
        <v>59</v>
      </c>
      <c r="N10" s="10" t="str">
        <f t="shared" si="4"/>
        <v>教室：本校／コース：映像授業／コマ数：8コマ／授業料：16,800円／教材費：3,000円／消費税：1,980円／請求額：21,780円</v>
      </c>
      <c r="O10" t="str">
        <f t="shared" si="5"/>
        <v>7：佐藤駿</v>
      </c>
    </row>
    <row r="11" spans="1:15" hidden="1" outlineLevel="1" x14ac:dyDescent="0.2">
      <c r="A11" s="5">
        <f t="shared" si="0"/>
        <v>8</v>
      </c>
      <c r="B11" t="s">
        <v>75</v>
      </c>
      <c r="C11" s="5" t="s">
        <v>56</v>
      </c>
      <c r="D11" s="5" t="s">
        <v>76</v>
      </c>
      <c r="E11" s="5" t="s">
        <v>44</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49500</v>
      </c>
      <c r="L11" t="s">
        <v>77</v>
      </c>
      <c r="M11" s="9" t="s">
        <v>59</v>
      </c>
      <c r="N11" s="10" t="str">
        <f t="shared" si="4"/>
        <v>教室：本校／コース：映像授業／コマ数：20コマ／授業料：42,000円／教材費：3,000円／消費税：4,500円／請求額：49,500円</v>
      </c>
      <c r="O11" t="str">
        <f t="shared" si="5"/>
        <v>8：阿部悠真</v>
      </c>
    </row>
    <row r="12" spans="1:15" hidden="1" outlineLevel="1" x14ac:dyDescent="0.2">
      <c r="A12" s="5">
        <f t="shared" si="0"/>
        <v>9</v>
      </c>
      <c r="B12" t="s">
        <v>78</v>
      </c>
      <c r="C12" s="5" t="s">
        <v>56</v>
      </c>
      <c r="D12" s="5" t="s">
        <v>57</v>
      </c>
      <c r="E12" s="5" t="s">
        <v>43</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37950</v>
      </c>
      <c r="L12" t="s">
        <v>79</v>
      </c>
      <c r="M12" s="9" t="s">
        <v>59</v>
      </c>
      <c r="N12" s="10" t="str">
        <f t="shared" si="4"/>
        <v>教室：本校／コース：集団授業／コマ数：12コマ／授業料：30,000円／教材費：4,500円／消費税：3,450円／請求額：37,950円</v>
      </c>
      <c r="O12" t="str">
        <f t="shared" si="5"/>
        <v>9：石川凛</v>
      </c>
    </row>
    <row r="13" spans="1:15" hidden="1" outlineLevel="1" x14ac:dyDescent="0.2">
      <c r="A13" s="5">
        <f t="shared" si="0"/>
        <v>10</v>
      </c>
      <c r="B13" t="s">
        <v>80</v>
      </c>
      <c r="C13" s="5" t="s">
        <v>56</v>
      </c>
      <c r="D13" s="5" t="s">
        <v>81</v>
      </c>
      <c r="E13" s="5" t="s">
        <v>44</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49500</v>
      </c>
      <c r="L13" t="s">
        <v>82</v>
      </c>
      <c r="M13" s="9" t="s">
        <v>59</v>
      </c>
      <c r="N13" s="10" t="str">
        <f t="shared" si="4"/>
        <v>教室：本校／コース：映像授業／コマ数：20コマ／授業料：42,000円／教材費：3,000円／消費税：4,500円／請求額：49,500円</v>
      </c>
      <c r="O13" t="str">
        <f t="shared" si="5"/>
        <v>10：木村美結</v>
      </c>
    </row>
    <row r="14" spans="1:15" hidden="1" outlineLevel="1" x14ac:dyDescent="0.2">
      <c r="A14" s="5">
        <f t="shared" si="0"/>
        <v>11</v>
      </c>
      <c r="B14" t="s">
        <v>83</v>
      </c>
      <c r="C14" s="5" t="s">
        <v>56</v>
      </c>
      <c r="D14" s="5" t="s">
        <v>64</v>
      </c>
      <c r="E14" s="5" t="s">
        <v>44</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40260</v>
      </c>
      <c r="L14" t="s">
        <v>84</v>
      </c>
      <c r="M14" s="9" t="s">
        <v>59</v>
      </c>
      <c r="N14" s="10" t="str">
        <f t="shared" si="4"/>
        <v>教室：本校／コース：映像授業／コマ数：16コマ／授業料：33,600円／教材費：3,000円／消費税：3,660円／請求額：40,260円</v>
      </c>
      <c r="O14" t="str">
        <f t="shared" si="5"/>
        <v>11：小林彩花</v>
      </c>
    </row>
    <row r="15" spans="1:15" hidden="1" outlineLevel="1" x14ac:dyDescent="0.2">
      <c r="A15" s="5">
        <f t="shared" si="0"/>
        <v>12</v>
      </c>
      <c r="B15" t="s">
        <v>85</v>
      </c>
      <c r="C15" s="5" t="s">
        <v>56</v>
      </c>
      <c r="D15" s="5" t="s">
        <v>86</v>
      </c>
      <c r="E15" s="5" t="s">
        <v>42</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83600</v>
      </c>
      <c r="L15" t="s">
        <v>87</v>
      </c>
      <c r="M15" s="9" t="s">
        <v>59</v>
      </c>
      <c r="N15" s="10" t="str">
        <f t="shared" si="4"/>
        <v>教室：本校／コース：個別指導／コマ数：20コマ／授業料：70,000円／教材費：6,000円／消費税：7,600円／請求額：83,600円</v>
      </c>
      <c r="O15" t="str">
        <f t="shared" si="5"/>
        <v>12：吉田駿</v>
      </c>
    </row>
    <row r="16" spans="1:15" hidden="1" outlineLevel="1" x14ac:dyDescent="0.2">
      <c r="A16" s="5">
        <f t="shared" si="0"/>
        <v>13</v>
      </c>
      <c r="B16" t="s">
        <v>88</v>
      </c>
      <c r="C16" s="5" t="s">
        <v>56</v>
      </c>
      <c r="D16" s="5" t="s">
        <v>86</v>
      </c>
      <c r="E16" s="5" t="s">
        <v>42</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22000</v>
      </c>
      <c r="L16" t="s">
        <v>89</v>
      </c>
      <c r="M16" s="9" t="s">
        <v>59</v>
      </c>
      <c r="N16" s="10" t="str">
        <f t="shared" si="4"/>
        <v>教室：本校／コース：個別指導／コマ数：4コマ／授業料：14,000円／教材費：6,000円／消費税：2,000円／請求額：22,000円</v>
      </c>
      <c r="O16" t="str">
        <f t="shared" si="5"/>
        <v>13：竹内蓮</v>
      </c>
    </row>
    <row r="17" spans="1:15" hidden="1" outlineLevel="1" x14ac:dyDescent="0.2">
      <c r="A17" s="5">
        <f t="shared" si="0"/>
        <v>14</v>
      </c>
      <c r="B17" t="s">
        <v>90</v>
      </c>
      <c r="C17" s="5" t="s">
        <v>56</v>
      </c>
      <c r="D17" s="5" t="s">
        <v>76</v>
      </c>
      <c r="E17" s="5" t="s">
        <v>43</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15950</v>
      </c>
      <c r="L17" t="s">
        <v>91</v>
      </c>
      <c r="M17" s="9" t="s">
        <v>59</v>
      </c>
      <c r="N17" s="10" t="str">
        <f t="shared" si="4"/>
        <v>教室：本校／コース：集団授業／コマ数：4コマ／授業料：10,000円／教材費：4,500円／消費税：1,450円／請求額：15,950円</v>
      </c>
      <c r="O17" t="str">
        <f t="shared" si="5"/>
        <v>14：木村優奈</v>
      </c>
    </row>
    <row r="18" spans="1:15" hidden="1" outlineLevel="1" x14ac:dyDescent="0.2">
      <c r="A18" s="5">
        <f t="shared" si="0"/>
        <v>15</v>
      </c>
      <c r="B18" t="s">
        <v>92</v>
      </c>
      <c r="C18" s="5" t="s">
        <v>56</v>
      </c>
      <c r="D18" s="5" t="s">
        <v>81</v>
      </c>
      <c r="E18" s="5" t="s">
        <v>43</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26950</v>
      </c>
      <c r="L18" t="s">
        <v>93</v>
      </c>
      <c r="M18" s="9" t="s">
        <v>59</v>
      </c>
      <c r="N18" s="10" t="str">
        <f t="shared" si="4"/>
        <v>教室：本校／コース：集団授業／コマ数：8コマ／授業料：20,000円／教材費：4,500円／消費税：2,450円／請求額：26,950円</v>
      </c>
      <c r="O18" t="str">
        <f t="shared" si="5"/>
        <v>15：村上悠斗</v>
      </c>
    </row>
    <row r="19" spans="1:15" hidden="1" outlineLevel="1" x14ac:dyDescent="0.2">
      <c r="A19" s="5">
        <f t="shared" si="0"/>
        <v>16</v>
      </c>
      <c r="B19" t="s">
        <v>94</v>
      </c>
      <c r="C19" s="5" t="s">
        <v>56</v>
      </c>
      <c r="D19" s="5" t="s">
        <v>81</v>
      </c>
      <c r="E19" s="5" t="s">
        <v>42</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22000</v>
      </c>
      <c r="L19" t="s">
        <v>95</v>
      </c>
      <c r="M19" s="9" t="s">
        <v>59</v>
      </c>
      <c r="N19" s="10" t="str">
        <f t="shared" si="4"/>
        <v>教室：本校／コース：個別指導／コマ数：4コマ／授業料：14,000円／教材費：6,000円／消費税：2,000円／請求額：22,000円</v>
      </c>
      <c r="O19" t="str">
        <f t="shared" si="5"/>
        <v>16：石川大翔</v>
      </c>
    </row>
    <row r="20" spans="1:15" hidden="1" outlineLevel="1" x14ac:dyDescent="0.2">
      <c r="A20" s="5">
        <f t="shared" si="0"/>
        <v>17</v>
      </c>
      <c r="B20" t="s">
        <v>96</v>
      </c>
      <c r="C20" s="5" t="s">
        <v>56</v>
      </c>
      <c r="D20" s="5" t="s">
        <v>57</v>
      </c>
      <c r="E20" s="5" t="s">
        <v>42</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68200</v>
      </c>
      <c r="L20" t="s">
        <v>97</v>
      </c>
      <c r="M20" s="9" t="s">
        <v>59</v>
      </c>
      <c r="N20" s="10" t="str">
        <f t="shared" si="4"/>
        <v>教室：本校／コース：個別指導／コマ数：16コマ／授業料：56,000円／教材費：6,000円／消費税：6,200円／請求額：68,200円</v>
      </c>
      <c r="O20" t="str">
        <f t="shared" si="5"/>
        <v>17：太田凛</v>
      </c>
    </row>
    <row r="21" spans="1:15" hidden="1" outlineLevel="1" x14ac:dyDescent="0.2">
      <c r="A21" s="5">
        <f t="shared" si="0"/>
        <v>18</v>
      </c>
      <c r="B21" t="s">
        <v>98</v>
      </c>
      <c r="C21" s="5" t="s">
        <v>56</v>
      </c>
      <c r="D21" s="5" t="s">
        <v>99</v>
      </c>
      <c r="E21" s="5" t="s">
        <v>44</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40260</v>
      </c>
      <c r="L21" t="s">
        <v>100</v>
      </c>
      <c r="M21" s="9" t="s">
        <v>59</v>
      </c>
      <c r="N21" s="10" t="str">
        <f t="shared" si="4"/>
        <v>教室：本校／コース：映像授業／コマ数：16コマ／授業料：33,600円／教材費：3,000円／消費税：3,660円／請求額：40,260円</v>
      </c>
      <c r="O21" t="str">
        <f t="shared" si="5"/>
        <v>18：吉田陽向</v>
      </c>
    </row>
    <row r="22" spans="1:15" hidden="1" outlineLevel="1" x14ac:dyDescent="0.2">
      <c r="A22" s="5">
        <f t="shared" si="0"/>
        <v>19</v>
      </c>
      <c r="B22" t="s">
        <v>101</v>
      </c>
      <c r="C22" s="5" t="s">
        <v>56</v>
      </c>
      <c r="D22" s="5" t="s">
        <v>81</v>
      </c>
      <c r="E22" s="5" t="s">
        <v>44</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40260</v>
      </c>
      <c r="L22" t="s">
        <v>102</v>
      </c>
      <c r="M22" s="9" t="s">
        <v>59</v>
      </c>
      <c r="N22" s="10" t="str">
        <f t="shared" si="4"/>
        <v>教室：本校／コース：映像授業／コマ数：16コマ／授業料：33,600円／教材費：3,000円／消費税：3,660円／請求額：40,260円</v>
      </c>
      <c r="O22" t="str">
        <f t="shared" si="5"/>
        <v>19：山下咲良</v>
      </c>
    </row>
    <row r="23" spans="1:15" hidden="1" outlineLevel="1" x14ac:dyDescent="0.2">
      <c r="A23" s="5">
        <f t="shared" si="0"/>
        <v>20</v>
      </c>
      <c r="B23" t="s">
        <v>103</v>
      </c>
      <c r="C23" s="5" t="s">
        <v>56</v>
      </c>
      <c r="D23" s="5" t="s">
        <v>61</v>
      </c>
      <c r="E23" s="5" t="s">
        <v>42</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37400</v>
      </c>
      <c r="L23" t="s">
        <v>104</v>
      </c>
      <c r="M23" s="9" t="s">
        <v>59</v>
      </c>
      <c r="N23" s="10" t="str">
        <f t="shared" si="4"/>
        <v>教室：本校／コース：個別指導／コマ数：8コマ／授業料：28,000円／教材費：6,000円／消費税：3,400円／請求額：37,400円</v>
      </c>
      <c r="O23" t="str">
        <f t="shared" si="5"/>
        <v>20：後藤愛</v>
      </c>
    </row>
    <row r="24" spans="1:15" hidden="1" outlineLevel="1" x14ac:dyDescent="0.2">
      <c r="A24" s="5">
        <f t="shared" si="0"/>
        <v>21</v>
      </c>
      <c r="B24" t="s">
        <v>105</v>
      </c>
      <c r="C24" s="5" t="s">
        <v>56</v>
      </c>
      <c r="D24" s="5" t="s">
        <v>57</v>
      </c>
      <c r="E24" s="5" t="s">
        <v>41</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78100</v>
      </c>
      <c r="L24" t="s">
        <v>106</v>
      </c>
      <c r="M24" s="9" t="s">
        <v>59</v>
      </c>
      <c r="N24" s="10" t="str">
        <f t="shared" si="4"/>
        <v>教室：本校／コース：個別指導S／コマ数：16コマ／授業料：64,000円／教材費：7,000円／消費税：7,100円／請求額：78,100円</v>
      </c>
      <c r="O24" t="str">
        <f t="shared" si="5"/>
        <v>21：田村美結</v>
      </c>
    </row>
    <row r="25" spans="1:15" hidden="1" outlineLevel="1" x14ac:dyDescent="0.2">
      <c r="A25" s="5">
        <f t="shared" si="0"/>
        <v>22</v>
      </c>
      <c r="B25" t="s">
        <v>107</v>
      </c>
      <c r="C25" s="5" t="s">
        <v>56</v>
      </c>
      <c r="D25" s="5" t="s">
        <v>81</v>
      </c>
      <c r="E25" s="5" t="s">
        <v>42</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83600</v>
      </c>
      <c r="L25" t="s">
        <v>108</v>
      </c>
      <c r="M25" s="9" t="s">
        <v>59</v>
      </c>
      <c r="N25" s="10" t="str">
        <f t="shared" si="4"/>
        <v>教室：本校／コース：個別指導／コマ数：20コマ／授業料：70,000円／教材費：6,000円／消費税：7,600円／請求額：83,600円</v>
      </c>
      <c r="O25" t="str">
        <f t="shared" si="5"/>
        <v>22：中野陸</v>
      </c>
    </row>
    <row r="26" spans="1:15" hidden="1" outlineLevel="1" x14ac:dyDescent="0.2">
      <c r="A26" s="5">
        <f t="shared" si="0"/>
        <v>23</v>
      </c>
      <c r="B26" t="s">
        <v>109</v>
      </c>
      <c r="C26" s="5" t="s">
        <v>56</v>
      </c>
      <c r="D26" s="5" t="s">
        <v>86</v>
      </c>
      <c r="E26" s="5" t="s">
        <v>41</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95700</v>
      </c>
      <c r="L26" t="s">
        <v>110</v>
      </c>
      <c r="M26" s="9" t="s">
        <v>59</v>
      </c>
      <c r="N26" s="10" t="str">
        <f t="shared" si="4"/>
        <v>教室：本校／コース：個別指導S／コマ数：20コマ／授業料：80,000円／教材費：7,000円／消費税：8,700円／請求額：95,700円</v>
      </c>
      <c r="O26" t="str">
        <f t="shared" si="5"/>
        <v>23：橋本颯</v>
      </c>
    </row>
    <row r="27" spans="1:15" hidden="1" outlineLevel="1" x14ac:dyDescent="0.2">
      <c r="A27" s="5">
        <f t="shared" si="0"/>
        <v>24</v>
      </c>
      <c r="B27" t="s">
        <v>111</v>
      </c>
      <c r="C27" s="5" t="s">
        <v>56</v>
      </c>
      <c r="D27" s="5" t="s">
        <v>81</v>
      </c>
      <c r="E27" s="5" t="s">
        <v>41</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78100</v>
      </c>
      <c r="L27" t="s">
        <v>112</v>
      </c>
      <c r="M27" s="9" t="s">
        <v>59</v>
      </c>
      <c r="N27" s="10" t="str">
        <f t="shared" si="4"/>
        <v>教室：本校／コース：個別指導S／コマ数：16コマ／授業料：64,000円／教材費：7,000円／消費税：7,100円／請求額：78,100円</v>
      </c>
      <c r="O27" t="str">
        <f t="shared" si="5"/>
        <v>24：林健太</v>
      </c>
    </row>
    <row r="28" spans="1:15" hidden="1" outlineLevel="1" x14ac:dyDescent="0.2">
      <c r="A28" s="5">
        <f t="shared" si="0"/>
        <v>25</v>
      </c>
      <c r="B28" t="s">
        <v>113</v>
      </c>
      <c r="C28" s="5" t="s">
        <v>56</v>
      </c>
      <c r="D28" s="5" t="s">
        <v>114</v>
      </c>
      <c r="E28" s="5" t="s">
        <v>44</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49500</v>
      </c>
      <c r="L28" t="s">
        <v>115</v>
      </c>
      <c r="M28" s="9" t="s">
        <v>59</v>
      </c>
      <c r="N28" s="10" t="str">
        <f t="shared" si="4"/>
        <v>教室：本校／コース：映像授業／コマ数：20コマ／授業料：42,000円／教材費：3,000円／消費税：4,500円／請求額：49,500円</v>
      </c>
      <c r="O28" t="str">
        <f t="shared" si="5"/>
        <v>25：金子美咲</v>
      </c>
    </row>
    <row r="29" spans="1:15" hidden="1" outlineLevel="1" x14ac:dyDescent="0.2">
      <c r="A29" s="5">
        <f t="shared" si="0"/>
        <v>26</v>
      </c>
      <c r="B29" t="s">
        <v>116</v>
      </c>
      <c r="C29" s="5" t="s">
        <v>56</v>
      </c>
      <c r="D29" s="5" t="s">
        <v>67</v>
      </c>
      <c r="E29" s="5" t="s">
        <v>43</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48950</v>
      </c>
      <c r="L29" t="s">
        <v>117</v>
      </c>
      <c r="M29" s="9" t="s">
        <v>59</v>
      </c>
      <c r="N29" s="10" t="str">
        <f t="shared" si="4"/>
        <v>教室：本校／コース：集団授業／コマ数：16コマ／授業料：40,000円／教材費：4,500円／消費税：4,450円／請求額：48,950円</v>
      </c>
      <c r="O29" t="str">
        <f t="shared" si="5"/>
        <v>26：山田結翔</v>
      </c>
    </row>
    <row r="30" spans="1:15" hidden="1" outlineLevel="1" x14ac:dyDescent="0.2">
      <c r="A30" s="5">
        <f t="shared" si="0"/>
        <v>27</v>
      </c>
      <c r="B30" t="s">
        <v>118</v>
      </c>
      <c r="C30" s="5" t="s">
        <v>56</v>
      </c>
      <c r="D30" s="5" t="s">
        <v>67</v>
      </c>
      <c r="E30" s="5" t="s">
        <v>44</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49500</v>
      </c>
      <c r="L30" t="s">
        <v>119</v>
      </c>
      <c r="M30" s="9" t="s">
        <v>59</v>
      </c>
      <c r="N30" s="10" t="str">
        <f t="shared" si="4"/>
        <v>教室：本校／コース：映像授業／コマ数：20コマ／授業料：42,000円／教材費：3,000円／消費税：4,500円／請求額：49,500円</v>
      </c>
      <c r="O30" t="str">
        <f t="shared" si="5"/>
        <v>27：田村拓也</v>
      </c>
    </row>
    <row r="31" spans="1:15" hidden="1" outlineLevel="1" x14ac:dyDescent="0.2">
      <c r="A31" s="5">
        <f t="shared" si="0"/>
        <v>28</v>
      </c>
      <c r="B31" t="s">
        <v>120</v>
      </c>
      <c r="C31" s="5" t="s">
        <v>56</v>
      </c>
      <c r="D31" s="5" t="s">
        <v>86</v>
      </c>
      <c r="E31" s="5" t="s">
        <v>42</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68200</v>
      </c>
      <c r="L31" t="s">
        <v>121</v>
      </c>
      <c r="M31" s="9" t="s">
        <v>59</v>
      </c>
      <c r="N31" s="10" t="str">
        <f t="shared" si="4"/>
        <v>教室：本校／コース：個別指導／コマ数：16コマ／授業料：56,000円／教材費：6,000円／消費税：6,200円／請求額：68,200円</v>
      </c>
      <c r="O31" t="str">
        <f t="shared" si="5"/>
        <v>28：田中琴音</v>
      </c>
    </row>
    <row r="32" spans="1:15" hidden="1" outlineLevel="1" x14ac:dyDescent="0.2">
      <c r="A32" s="5">
        <f t="shared" si="0"/>
        <v>29</v>
      </c>
      <c r="B32" t="s">
        <v>122</v>
      </c>
      <c r="C32" s="5" t="s">
        <v>56</v>
      </c>
      <c r="D32" s="5" t="s">
        <v>86</v>
      </c>
      <c r="E32" s="5" t="s">
        <v>43</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26950</v>
      </c>
      <c r="L32" t="s">
        <v>123</v>
      </c>
      <c r="M32" s="9" t="s">
        <v>59</v>
      </c>
      <c r="N32" s="10" t="str">
        <f t="shared" si="4"/>
        <v>教室：本校／コース：集団授業／コマ数：8コマ／授業料：20,000円／教材費：4,500円／消費税：2,450円／請求額：26,950円</v>
      </c>
      <c r="O32" t="str">
        <f t="shared" si="5"/>
        <v>29：近藤悠斗</v>
      </c>
    </row>
    <row r="33" spans="1:15" hidden="1" outlineLevel="1" x14ac:dyDescent="0.2">
      <c r="A33" s="5">
        <f t="shared" si="0"/>
        <v>30</v>
      </c>
      <c r="B33" t="s">
        <v>124</v>
      </c>
      <c r="C33" s="5" t="s">
        <v>56</v>
      </c>
      <c r="D33" s="5" t="s">
        <v>76</v>
      </c>
      <c r="E33" s="5" t="s">
        <v>44</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21780</v>
      </c>
      <c r="L33" t="s">
        <v>125</v>
      </c>
      <c r="M33" s="9" t="s">
        <v>59</v>
      </c>
      <c r="N33" s="10" t="str">
        <f t="shared" si="4"/>
        <v>教室：本校／コース：映像授業／コマ数：8コマ／授業料：16,800円／教材費：3,000円／消費税：1,980円／請求額：21,780円</v>
      </c>
      <c r="O33" t="str">
        <f t="shared" si="5"/>
        <v>30：田中遥</v>
      </c>
    </row>
    <row r="34" spans="1:15" hidden="1" outlineLevel="1" x14ac:dyDescent="0.2">
      <c r="A34" s="5">
        <f t="shared" si="0"/>
        <v>31</v>
      </c>
      <c r="B34" t="s">
        <v>126</v>
      </c>
      <c r="C34" s="5" t="s">
        <v>56</v>
      </c>
      <c r="D34" s="5" t="s">
        <v>76</v>
      </c>
      <c r="E34" s="5" t="s">
        <v>44</v>
      </c>
      <c r="F34" s="6">
        <f>IFERROR(INDEX(TankaData[1コマ単価],MATCH(E34,TankaData[コース],0)),0)</f>
        <v>2100</v>
      </c>
      <c r="G34" s="7">
        <v>1</v>
      </c>
      <c r="H34" s="8">
        <f t="shared" si="1"/>
        <v>4</v>
      </c>
      <c r="I34" s="6">
        <f>IFERROR(INDEX(TankaData[教材費(標準)],MATCH(E34,TankaData[コース],0)),0)</f>
        <v>3000</v>
      </c>
      <c r="J34" s="6">
        <f t="shared" si="2"/>
        <v>8400</v>
      </c>
      <c r="K34" s="6">
        <f t="shared" si="3"/>
        <v>12540</v>
      </c>
      <c r="L34" t="s">
        <v>127</v>
      </c>
      <c r="M34" s="9" t="s">
        <v>59</v>
      </c>
      <c r="N34" s="10" t="str">
        <f t="shared" si="4"/>
        <v>教室：本校／コース：映像授業／コマ数：4コマ／授業料：8,400円／教材費：3,000円／消費税：1,140円／請求額：12,540円</v>
      </c>
      <c r="O34" t="str">
        <f t="shared" si="5"/>
        <v>31：森結衣</v>
      </c>
    </row>
    <row r="35" spans="1:15" hidden="1" outlineLevel="1" x14ac:dyDescent="0.2">
      <c r="A35" s="5">
        <f t="shared" si="0"/>
        <v>32</v>
      </c>
      <c r="B35" t="s">
        <v>128</v>
      </c>
      <c r="C35" s="5" t="s">
        <v>56</v>
      </c>
      <c r="D35" s="5" t="s">
        <v>76</v>
      </c>
      <c r="E35" s="5" t="s">
        <v>42</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52800</v>
      </c>
      <c r="L35" t="s">
        <v>129</v>
      </c>
      <c r="M35" s="9" t="s">
        <v>59</v>
      </c>
      <c r="N35" s="10" t="str">
        <f t="shared" si="4"/>
        <v>教室：本校／コース：個別指導／コマ数：12コマ／授業料：42,000円／教材費：6,000円／消費税：4,800円／請求額：52,800円</v>
      </c>
      <c r="O35" t="str">
        <f t="shared" si="5"/>
        <v>32：松本紬</v>
      </c>
    </row>
    <row r="36" spans="1:15" hidden="1" outlineLevel="1" x14ac:dyDescent="0.2">
      <c r="A36" s="5">
        <f t="shared" ref="A36:A67" si="6">ROW()-3</f>
        <v>33</v>
      </c>
      <c r="B36" t="s">
        <v>130</v>
      </c>
      <c r="C36" s="5" t="s">
        <v>56</v>
      </c>
      <c r="D36" s="5" t="s">
        <v>64</v>
      </c>
      <c r="E36" s="5" t="s">
        <v>43</v>
      </c>
      <c r="F36" s="6">
        <f>IFERROR(INDEX(TankaData[1コマ単価],MATCH(E36,TankaData[コース],0)),0)</f>
        <v>2500</v>
      </c>
      <c r="G36" s="7">
        <v>5</v>
      </c>
      <c r="H36" s="8">
        <f t="shared" ref="H36:H67" si="7">G36*4</f>
        <v>20</v>
      </c>
      <c r="I36" s="6">
        <f>IFERROR(INDEX(TankaData[教材費(標準)],MATCH(E36,TankaData[コース],0)),0)</f>
        <v>4500</v>
      </c>
      <c r="J36" s="6">
        <f t="shared" ref="J36:J67" si="8">F36*H36</f>
        <v>50000</v>
      </c>
      <c r="K36" s="6">
        <f t="shared" ref="K36:K67" si="9">J36+I36+ROUND((J36+I36)*0.1,0)</f>
        <v>59950</v>
      </c>
      <c r="L36" t="s">
        <v>131</v>
      </c>
      <c r="M36" s="9" t="s">
        <v>59</v>
      </c>
      <c r="N36" s="10" t="str">
        <f t="shared" ref="N36:N67" si="10">"教室："&amp;C36&amp;"／コース："&amp;E36&amp;"／コマ数："&amp;H36&amp;"コマ／授業料："&amp;TEXT(J36,"#,##0")&amp;"円／教材費："&amp;TEXT(I36,"#,##0")&amp;"円／消費税："&amp;TEXT(ROUND((J36+I36)*0.1,0),"#,##0")&amp;"円／請求額："&amp;TEXT(K36,"#,##0")&amp;"円"</f>
        <v>教室：本校／コース：集団授業／コマ数：20コマ／授業料：50,000円／教材費：4,500円／消費税：5,450円／請求額：59,950円</v>
      </c>
      <c r="O36" t="str">
        <f t="shared" ref="O36:O67" si="11">A36&amp;"："&amp;B36</f>
        <v>33：後藤翼</v>
      </c>
    </row>
    <row r="37" spans="1:15" hidden="1" outlineLevel="1" x14ac:dyDescent="0.2">
      <c r="A37" s="5">
        <f t="shared" si="6"/>
        <v>34</v>
      </c>
      <c r="B37" t="s">
        <v>132</v>
      </c>
      <c r="C37" s="5" t="s">
        <v>56</v>
      </c>
      <c r="D37" s="5" t="s">
        <v>99</v>
      </c>
      <c r="E37" s="5" t="s">
        <v>42</v>
      </c>
      <c r="F37" s="6">
        <f>IFERROR(INDEX(TankaData[1コマ単価],MATCH(E37,TankaData[コース],0)),0)</f>
        <v>3500</v>
      </c>
      <c r="G37" s="7">
        <v>2</v>
      </c>
      <c r="H37" s="8">
        <f t="shared" si="7"/>
        <v>8</v>
      </c>
      <c r="I37" s="6">
        <f>IFERROR(INDEX(TankaData[教材費(標準)],MATCH(E37,TankaData[コース],0)),0)</f>
        <v>6000</v>
      </c>
      <c r="J37" s="6">
        <f t="shared" si="8"/>
        <v>28000</v>
      </c>
      <c r="K37" s="6">
        <f t="shared" si="9"/>
        <v>37400</v>
      </c>
      <c r="L37" t="s">
        <v>133</v>
      </c>
      <c r="M37" s="9" t="s">
        <v>59</v>
      </c>
      <c r="N37" s="10" t="str">
        <f t="shared" si="10"/>
        <v>教室：本校／コース：個別指導／コマ数：8コマ／授業料：28,000円／教材費：6,000円／消費税：3,400円／請求額：37,400円</v>
      </c>
      <c r="O37" t="str">
        <f t="shared" si="11"/>
        <v>34：小野楓</v>
      </c>
    </row>
    <row r="38" spans="1:15" hidden="1" outlineLevel="1" x14ac:dyDescent="0.2">
      <c r="A38" s="5">
        <f t="shared" si="6"/>
        <v>35</v>
      </c>
      <c r="B38" t="s">
        <v>134</v>
      </c>
      <c r="C38" s="5" t="s">
        <v>56</v>
      </c>
      <c r="D38" s="5" t="s">
        <v>81</v>
      </c>
      <c r="E38" s="5" t="s">
        <v>44</v>
      </c>
      <c r="F38" s="6">
        <f>IFERROR(INDEX(TankaData[1コマ単価],MATCH(E38,TankaData[コース],0)),0)</f>
        <v>2100</v>
      </c>
      <c r="G38" s="7">
        <v>2</v>
      </c>
      <c r="H38" s="8">
        <f t="shared" si="7"/>
        <v>8</v>
      </c>
      <c r="I38" s="6">
        <f>IFERROR(INDEX(TankaData[教材費(標準)],MATCH(E38,TankaData[コース],0)),0)</f>
        <v>3000</v>
      </c>
      <c r="J38" s="6">
        <f t="shared" si="8"/>
        <v>16800</v>
      </c>
      <c r="K38" s="6">
        <f t="shared" si="9"/>
        <v>21780</v>
      </c>
      <c r="L38" t="s">
        <v>135</v>
      </c>
      <c r="M38" s="9" t="s">
        <v>59</v>
      </c>
      <c r="N38" s="10" t="str">
        <f t="shared" si="10"/>
        <v>教室：本校／コース：映像授業／コマ数：8コマ／授業料：16,800円／教材費：3,000円／消費税：1,980円／請求額：21,780円</v>
      </c>
      <c r="O38" t="str">
        <f t="shared" si="11"/>
        <v>35：山下悠斗</v>
      </c>
    </row>
    <row r="39" spans="1:15" hidden="1" outlineLevel="1" x14ac:dyDescent="0.2">
      <c r="A39" s="5">
        <f t="shared" si="6"/>
        <v>36</v>
      </c>
      <c r="B39" t="s">
        <v>136</v>
      </c>
      <c r="C39" s="5" t="s">
        <v>56</v>
      </c>
      <c r="D39" s="5" t="s">
        <v>81</v>
      </c>
      <c r="E39" s="5" t="s">
        <v>41</v>
      </c>
      <c r="F39" s="6">
        <f>IFERROR(INDEX(TankaData[1コマ単価],MATCH(E39,TankaData[コース],0)),0)</f>
        <v>4000</v>
      </c>
      <c r="G39" s="7">
        <v>4</v>
      </c>
      <c r="H39" s="8">
        <f t="shared" si="7"/>
        <v>16</v>
      </c>
      <c r="I39" s="6">
        <f>IFERROR(INDEX(TankaData[教材費(標準)],MATCH(E39,TankaData[コース],0)),0)</f>
        <v>7000</v>
      </c>
      <c r="J39" s="6">
        <f t="shared" si="8"/>
        <v>64000</v>
      </c>
      <c r="K39" s="6">
        <f t="shared" si="9"/>
        <v>78100</v>
      </c>
      <c r="L39" t="s">
        <v>137</v>
      </c>
      <c r="M39" s="9" t="s">
        <v>59</v>
      </c>
      <c r="N39" s="10" t="str">
        <f t="shared" si="10"/>
        <v>教室：本校／コース：個別指導S／コマ数：16コマ／授業料：64,000円／教材費：7,000円／消費税：7,100円／請求額：78,100円</v>
      </c>
      <c r="O39" t="str">
        <f t="shared" si="11"/>
        <v>36：藤田蓮</v>
      </c>
    </row>
    <row r="40" spans="1:15" hidden="1" outlineLevel="1" x14ac:dyDescent="0.2">
      <c r="A40" s="5">
        <f t="shared" si="6"/>
        <v>37</v>
      </c>
      <c r="B40" t="s">
        <v>138</v>
      </c>
      <c r="C40" s="5" t="s">
        <v>56</v>
      </c>
      <c r="D40" s="5" t="s">
        <v>61</v>
      </c>
      <c r="E40" s="5" t="s">
        <v>43</v>
      </c>
      <c r="F40" s="6">
        <f>IFERROR(INDEX(TankaData[1コマ単価],MATCH(E40,TankaData[コース],0)),0)</f>
        <v>2500</v>
      </c>
      <c r="G40" s="7">
        <v>5</v>
      </c>
      <c r="H40" s="8">
        <f t="shared" si="7"/>
        <v>20</v>
      </c>
      <c r="I40" s="6">
        <f>IFERROR(INDEX(TankaData[教材費(標準)],MATCH(E40,TankaData[コース],0)),0)</f>
        <v>4500</v>
      </c>
      <c r="J40" s="6">
        <f t="shared" si="8"/>
        <v>50000</v>
      </c>
      <c r="K40" s="6">
        <f t="shared" si="9"/>
        <v>59950</v>
      </c>
      <c r="L40" t="s">
        <v>139</v>
      </c>
      <c r="M40" s="9" t="s">
        <v>59</v>
      </c>
      <c r="N40" s="10" t="str">
        <f t="shared" si="10"/>
        <v>教室：本校／コース：集団授業／コマ数：20コマ／授業料：50,000円／教材費：4,500円／消費税：5,450円／請求額：59,950円</v>
      </c>
      <c r="O40" t="str">
        <f t="shared" si="11"/>
        <v>37：渡辺美結</v>
      </c>
    </row>
    <row r="41" spans="1:15" hidden="1" outlineLevel="1" x14ac:dyDescent="0.2">
      <c r="A41" s="5">
        <f t="shared" si="6"/>
        <v>38</v>
      </c>
      <c r="B41" t="s">
        <v>140</v>
      </c>
      <c r="C41" s="5" t="s">
        <v>56</v>
      </c>
      <c r="D41" s="5" t="s">
        <v>86</v>
      </c>
      <c r="E41" s="5" t="s">
        <v>44</v>
      </c>
      <c r="F41" s="6">
        <f>IFERROR(INDEX(TankaData[1コマ単価],MATCH(E41,TankaData[コース],0)),0)</f>
        <v>2100</v>
      </c>
      <c r="G41" s="7">
        <v>1</v>
      </c>
      <c r="H41" s="8">
        <f t="shared" si="7"/>
        <v>4</v>
      </c>
      <c r="I41" s="6">
        <f>IFERROR(INDEX(TankaData[教材費(標準)],MATCH(E41,TankaData[コース],0)),0)</f>
        <v>3000</v>
      </c>
      <c r="J41" s="6">
        <f t="shared" si="8"/>
        <v>8400</v>
      </c>
      <c r="K41" s="6">
        <f t="shared" si="9"/>
        <v>12540</v>
      </c>
      <c r="L41" t="s">
        <v>141</v>
      </c>
      <c r="M41" s="9" t="s">
        <v>59</v>
      </c>
      <c r="N41" s="10" t="str">
        <f t="shared" si="10"/>
        <v>教室：本校／コース：映像授業／コマ数：4コマ／授業料：8,400円／教材費：3,000円／消費税：1,140円／請求額：12,540円</v>
      </c>
      <c r="O41" t="str">
        <f t="shared" si="11"/>
        <v>38：斎藤葵</v>
      </c>
    </row>
    <row r="42" spans="1:15" hidden="1" outlineLevel="1" x14ac:dyDescent="0.2">
      <c r="A42" s="5">
        <f t="shared" si="6"/>
        <v>39</v>
      </c>
      <c r="B42" t="s">
        <v>142</v>
      </c>
      <c r="C42" s="5" t="s">
        <v>56</v>
      </c>
      <c r="D42" s="5" t="s">
        <v>81</v>
      </c>
      <c r="E42" s="5" t="s">
        <v>44</v>
      </c>
      <c r="F42" s="6">
        <f>IFERROR(INDEX(TankaData[1コマ単価],MATCH(E42,TankaData[コース],0)),0)</f>
        <v>2100</v>
      </c>
      <c r="G42" s="7">
        <v>4</v>
      </c>
      <c r="H42" s="8">
        <f t="shared" si="7"/>
        <v>16</v>
      </c>
      <c r="I42" s="6">
        <f>IFERROR(INDEX(TankaData[教材費(標準)],MATCH(E42,TankaData[コース],0)),0)</f>
        <v>3000</v>
      </c>
      <c r="J42" s="6">
        <f t="shared" si="8"/>
        <v>33600</v>
      </c>
      <c r="K42" s="6">
        <f t="shared" si="9"/>
        <v>40260</v>
      </c>
      <c r="L42" t="s">
        <v>143</v>
      </c>
      <c r="M42" s="9" t="s">
        <v>59</v>
      </c>
      <c r="N42" s="10" t="str">
        <f t="shared" si="10"/>
        <v>教室：本校／コース：映像授業／コマ数：16コマ／授業料：33,600円／教材費：3,000円／消費税：3,660円／請求額：40,260円</v>
      </c>
      <c r="O42" t="str">
        <f t="shared" si="11"/>
        <v>39：岡本蒼</v>
      </c>
    </row>
    <row r="43" spans="1:15" hidden="1" outlineLevel="1" x14ac:dyDescent="0.2">
      <c r="A43" s="5">
        <f t="shared" si="6"/>
        <v>40</v>
      </c>
      <c r="B43" t="s">
        <v>144</v>
      </c>
      <c r="C43" s="5" t="s">
        <v>56</v>
      </c>
      <c r="D43" s="5" t="s">
        <v>57</v>
      </c>
      <c r="E43" s="5" t="s">
        <v>44</v>
      </c>
      <c r="F43" s="6">
        <f>IFERROR(INDEX(TankaData[1コマ単価],MATCH(E43,TankaData[コース],0)),0)</f>
        <v>2100</v>
      </c>
      <c r="G43" s="7">
        <v>4</v>
      </c>
      <c r="H43" s="8">
        <f t="shared" si="7"/>
        <v>16</v>
      </c>
      <c r="I43" s="6">
        <f>IFERROR(INDEX(TankaData[教材費(標準)],MATCH(E43,TankaData[コース],0)),0)</f>
        <v>3000</v>
      </c>
      <c r="J43" s="6">
        <f t="shared" si="8"/>
        <v>33600</v>
      </c>
      <c r="K43" s="6">
        <f t="shared" si="9"/>
        <v>40260</v>
      </c>
      <c r="L43" t="s">
        <v>145</v>
      </c>
      <c r="M43" s="9" t="s">
        <v>59</v>
      </c>
      <c r="N43" s="10" t="str">
        <f t="shared" si="10"/>
        <v>教室：本校／コース：映像授業／コマ数：16コマ／授業料：33,600円／教材費：3,000円／消費税：3,660円／請求額：40,260円</v>
      </c>
      <c r="O43" t="str">
        <f t="shared" si="11"/>
        <v>40：小林美月</v>
      </c>
    </row>
    <row r="44" spans="1:15" hidden="1" outlineLevel="1" x14ac:dyDescent="0.2">
      <c r="A44" s="5">
        <f t="shared" si="6"/>
        <v>41</v>
      </c>
      <c r="B44" t="s">
        <v>146</v>
      </c>
      <c r="C44" s="5" t="s">
        <v>56</v>
      </c>
      <c r="D44" s="5" t="s">
        <v>57</v>
      </c>
      <c r="E44" s="5" t="s">
        <v>43</v>
      </c>
      <c r="F44" s="6">
        <f>IFERROR(INDEX(TankaData[1コマ単価],MATCH(E44,TankaData[コース],0)),0)</f>
        <v>2500</v>
      </c>
      <c r="G44" s="7">
        <v>3</v>
      </c>
      <c r="H44" s="8">
        <f t="shared" si="7"/>
        <v>12</v>
      </c>
      <c r="I44" s="6">
        <f>IFERROR(INDEX(TankaData[教材費(標準)],MATCH(E44,TankaData[コース],0)),0)</f>
        <v>4500</v>
      </c>
      <c r="J44" s="6">
        <f t="shared" si="8"/>
        <v>30000</v>
      </c>
      <c r="K44" s="6">
        <f t="shared" si="9"/>
        <v>37950</v>
      </c>
      <c r="L44" t="s">
        <v>147</v>
      </c>
      <c r="M44" s="9" t="s">
        <v>59</v>
      </c>
      <c r="N44" s="10" t="str">
        <f t="shared" si="10"/>
        <v>教室：本校／コース：集団授業／コマ数：12コマ／授業料：30,000円／教材費：4,500円／消費税：3,450円／請求額：37,950円</v>
      </c>
      <c r="O44" t="str">
        <f t="shared" si="11"/>
        <v>41：渡辺愛</v>
      </c>
    </row>
    <row r="45" spans="1:15" hidden="1" outlineLevel="1" x14ac:dyDescent="0.2">
      <c r="A45" s="5">
        <f t="shared" si="6"/>
        <v>42</v>
      </c>
      <c r="B45" t="s">
        <v>148</v>
      </c>
      <c r="C45" s="5" t="s">
        <v>56</v>
      </c>
      <c r="D45" s="5" t="s">
        <v>61</v>
      </c>
      <c r="E45" s="5" t="s">
        <v>44</v>
      </c>
      <c r="F45" s="6">
        <f>IFERROR(INDEX(TankaData[1コマ単価],MATCH(E45,TankaData[コース],0)),0)</f>
        <v>2100</v>
      </c>
      <c r="G45" s="7">
        <v>5</v>
      </c>
      <c r="H45" s="8">
        <f t="shared" si="7"/>
        <v>20</v>
      </c>
      <c r="I45" s="6">
        <f>IFERROR(INDEX(TankaData[教材費(標準)],MATCH(E45,TankaData[コース],0)),0)</f>
        <v>3000</v>
      </c>
      <c r="J45" s="6">
        <f t="shared" si="8"/>
        <v>42000</v>
      </c>
      <c r="K45" s="6">
        <f t="shared" si="9"/>
        <v>49500</v>
      </c>
      <c r="L45" t="s">
        <v>149</v>
      </c>
      <c r="M45" s="9" t="s">
        <v>59</v>
      </c>
      <c r="N45" s="10" t="str">
        <f t="shared" si="10"/>
        <v>教室：本校／コース：映像授業／コマ数：20コマ／授業料：42,000円／教材費：3,000円／消費税：4,500円／請求額：49,500円</v>
      </c>
      <c r="O45" t="str">
        <f t="shared" si="11"/>
        <v>42：高橋大翔</v>
      </c>
    </row>
    <row r="46" spans="1:15" hidden="1" outlineLevel="1" x14ac:dyDescent="0.2">
      <c r="A46" s="5">
        <f t="shared" si="6"/>
        <v>43</v>
      </c>
      <c r="B46" t="s">
        <v>150</v>
      </c>
      <c r="C46" s="5" t="s">
        <v>56</v>
      </c>
      <c r="D46" s="5" t="s">
        <v>67</v>
      </c>
      <c r="E46" s="5" t="s">
        <v>42</v>
      </c>
      <c r="F46" s="6">
        <f>IFERROR(INDEX(TankaData[1コマ単価],MATCH(E46,TankaData[コース],0)),0)</f>
        <v>3500</v>
      </c>
      <c r="G46" s="7">
        <v>4</v>
      </c>
      <c r="H46" s="8">
        <f t="shared" si="7"/>
        <v>16</v>
      </c>
      <c r="I46" s="6">
        <f>IFERROR(INDEX(TankaData[教材費(標準)],MATCH(E46,TankaData[コース],0)),0)</f>
        <v>6000</v>
      </c>
      <c r="J46" s="6">
        <f t="shared" si="8"/>
        <v>56000</v>
      </c>
      <c r="K46" s="6">
        <f t="shared" si="9"/>
        <v>68200</v>
      </c>
      <c r="L46" t="s">
        <v>151</v>
      </c>
      <c r="M46" s="9" t="s">
        <v>59</v>
      </c>
      <c r="N46" s="10" t="str">
        <f t="shared" si="10"/>
        <v>教室：本校／コース：個別指導／コマ数：16コマ／授業料：56,000円／教材費：6,000円／消費税：6,200円／請求額：68,200円</v>
      </c>
      <c r="O46" t="str">
        <f t="shared" si="11"/>
        <v>43：田中詩織</v>
      </c>
    </row>
    <row r="47" spans="1:15" hidden="1" outlineLevel="1" x14ac:dyDescent="0.2">
      <c r="A47" s="5">
        <f t="shared" si="6"/>
        <v>44</v>
      </c>
      <c r="B47" t="s">
        <v>152</v>
      </c>
      <c r="C47" s="5" t="s">
        <v>56</v>
      </c>
      <c r="D47" s="5" t="s">
        <v>81</v>
      </c>
      <c r="E47" s="5" t="s">
        <v>43</v>
      </c>
      <c r="F47" s="6">
        <f>IFERROR(INDEX(TankaData[1コマ単価],MATCH(E47,TankaData[コース],0)),0)</f>
        <v>2500</v>
      </c>
      <c r="G47" s="7">
        <v>4</v>
      </c>
      <c r="H47" s="8">
        <f t="shared" si="7"/>
        <v>16</v>
      </c>
      <c r="I47" s="6">
        <f>IFERROR(INDEX(TankaData[教材費(標準)],MATCH(E47,TankaData[コース],0)),0)</f>
        <v>4500</v>
      </c>
      <c r="J47" s="6">
        <f t="shared" si="8"/>
        <v>40000</v>
      </c>
      <c r="K47" s="6">
        <f t="shared" si="9"/>
        <v>48950</v>
      </c>
      <c r="L47" t="s">
        <v>153</v>
      </c>
      <c r="M47" s="9" t="s">
        <v>59</v>
      </c>
      <c r="N47" s="10" t="str">
        <f t="shared" si="10"/>
        <v>教室：本校／コース：集団授業／コマ数：16コマ／授業料：40,000円／教材費：4,500円／消費税：4,450円／請求額：48,950円</v>
      </c>
      <c r="O47" t="str">
        <f t="shared" si="11"/>
        <v>44：井上美咲</v>
      </c>
    </row>
    <row r="48" spans="1:15" hidden="1" outlineLevel="1" x14ac:dyDescent="0.2">
      <c r="A48" s="5">
        <f t="shared" si="6"/>
        <v>45</v>
      </c>
      <c r="B48" t="s">
        <v>154</v>
      </c>
      <c r="C48" s="5" t="s">
        <v>56</v>
      </c>
      <c r="D48" s="5" t="s">
        <v>86</v>
      </c>
      <c r="E48" s="5" t="s">
        <v>41</v>
      </c>
      <c r="F48" s="6">
        <f>IFERROR(INDEX(TankaData[1コマ単価],MATCH(E48,TankaData[コース],0)),0)</f>
        <v>4000</v>
      </c>
      <c r="G48" s="7">
        <v>4</v>
      </c>
      <c r="H48" s="8">
        <f t="shared" si="7"/>
        <v>16</v>
      </c>
      <c r="I48" s="6">
        <f>IFERROR(INDEX(TankaData[教材費(標準)],MATCH(E48,TankaData[コース],0)),0)</f>
        <v>7000</v>
      </c>
      <c r="J48" s="6">
        <f t="shared" si="8"/>
        <v>64000</v>
      </c>
      <c r="K48" s="6">
        <f t="shared" si="9"/>
        <v>78100</v>
      </c>
      <c r="L48" t="s">
        <v>155</v>
      </c>
      <c r="M48" s="9" t="s">
        <v>59</v>
      </c>
      <c r="N48" s="10" t="str">
        <f t="shared" si="10"/>
        <v>教室：本校／コース：個別指導S／コマ数：16コマ／授業料：64,000円／教材費：7,000円／消費税：7,100円／請求額：78,100円</v>
      </c>
      <c r="O48" t="str">
        <f t="shared" si="11"/>
        <v>45：渡辺葵</v>
      </c>
    </row>
    <row r="49" spans="1:15" hidden="1" outlineLevel="1" x14ac:dyDescent="0.2">
      <c r="A49" s="5">
        <f t="shared" si="6"/>
        <v>46</v>
      </c>
      <c r="B49" t="s">
        <v>156</v>
      </c>
      <c r="C49" s="5" t="s">
        <v>56</v>
      </c>
      <c r="D49" s="5" t="s">
        <v>64</v>
      </c>
      <c r="E49" s="5" t="s">
        <v>44</v>
      </c>
      <c r="F49" s="6">
        <f>IFERROR(INDEX(TankaData[1コマ単価],MATCH(E49,TankaData[コース],0)),0)</f>
        <v>2100</v>
      </c>
      <c r="G49" s="7">
        <v>2</v>
      </c>
      <c r="H49" s="8">
        <f t="shared" si="7"/>
        <v>8</v>
      </c>
      <c r="I49" s="6">
        <f>IFERROR(INDEX(TankaData[教材費(標準)],MATCH(E49,TankaData[コース],0)),0)</f>
        <v>3000</v>
      </c>
      <c r="J49" s="6">
        <f t="shared" si="8"/>
        <v>16800</v>
      </c>
      <c r="K49" s="6">
        <f t="shared" si="9"/>
        <v>21780</v>
      </c>
      <c r="L49" t="s">
        <v>157</v>
      </c>
      <c r="M49" s="9" t="s">
        <v>59</v>
      </c>
      <c r="N49" s="10" t="str">
        <f t="shared" si="10"/>
        <v>教室：本校／コース：映像授業／コマ数：8コマ／授業料：16,800円／教材費：3,000円／消費税：1,980円／請求額：21,780円</v>
      </c>
      <c r="O49" t="str">
        <f t="shared" si="11"/>
        <v>46：山崎詩織</v>
      </c>
    </row>
    <row r="50" spans="1:15" hidden="1" outlineLevel="1" x14ac:dyDescent="0.2">
      <c r="A50" s="5">
        <f t="shared" si="6"/>
        <v>47</v>
      </c>
      <c r="B50" t="s">
        <v>158</v>
      </c>
      <c r="C50" s="5" t="s">
        <v>56</v>
      </c>
      <c r="D50" s="5" t="s">
        <v>86</v>
      </c>
      <c r="E50" s="5" t="s">
        <v>42</v>
      </c>
      <c r="F50" s="6">
        <f>IFERROR(INDEX(TankaData[1コマ単価],MATCH(E50,TankaData[コース],0)),0)</f>
        <v>3500</v>
      </c>
      <c r="G50" s="7">
        <v>5</v>
      </c>
      <c r="H50" s="8">
        <f t="shared" si="7"/>
        <v>20</v>
      </c>
      <c r="I50" s="6">
        <f>IFERROR(INDEX(TankaData[教材費(標準)],MATCH(E50,TankaData[コース],0)),0)</f>
        <v>6000</v>
      </c>
      <c r="J50" s="6">
        <f t="shared" si="8"/>
        <v>70000</v>
      </c>
      <c r="K50" s="6">
        <f t="shared" si="9"/>
        <v>83600</v>
      </c>
      <c r="L50" t="s">
        <v>159</v>
      </c>
      <c r="M50" s="9" t="s">
        <v>59</v>
      </c>
      <c r="N50" s="10" t="str">
        <f t="shared" si="10"/>
        <v>教室：本校／コース：個別指導／コマ数：20コマ／授業料：70,000円／教材費：6,000円／消費税：7,600円／請求額：83,600円</v>
      </c>
      <c r="O50" t="str">
        <f t="shared" si="11"/>
        <v>47：石井心春</v>
      </c>
    </row>
    <row r="51" spans="1:15" hidden="1" outlineLevel="1" x14ac:dyDescent="0.2">
      <c r="A51" s="5">
        <f t="shared" si="6"/>
        <v>48</v>
      </c>
      <c r="B51" t="s">
        <v>160</v>
      </c>
      <c r="C51" s="5" t="s">
        <v>56</v>
      </c>
      <c r="D51" s="5" t="s">
        <v>67</v>
      </c>
      <c r="E51" s="5" t="s">
        <v>41</v>
      </c>
      <c r="F51" s="6">
        <f>IFERROR(INDEX(TankaData[1コマ単価],MATCH(E51,TankaData[コース],0)),0)</f>
        <v>4000</v>
      </c>
      <c r="G51" s="7">
        <v>4</v>
      </c>
      <c r="H51" s="8">
        <f t="shared" si="7"/>
        <v>16</v>
      </c>
      <c r="I51" s="6">
        <f>IFERROR(INDEX(TankaData[教材費(標準)],MATCH(E51,TankaData[コース],0)),0)</f>
        <v>7000</v>
      </c>
      <c r="J51" s="6">
        <f t="shared" si="8"/>
        <v>64000</v>
      </c>
      <c r="K51" s="6">
        <f t="shared" si="9"/>
        <v>78100</v>
      </c>
      <c r="L51" t="s">
        <v>161</v>
      </c>
      <c r="M51" s="9" t="s">
        <v>59</v>
      </c>
      <c r="N51" s="10" t="str">
        <f t="shared" si="10"/>
        <v>教室：本校／コース：個別指導S／コマ数：16コマ／授業料：64,000円／教材費：7,000円／消費税：7,100円／請求額：78,100円</v>
      </c>
      <c r="O51" t="str">
        <f t="shared" si="11"/>
        <v>48：佐藤健太</v>
      </c>
    </row>
    <row r="52" spans="1:15" hidden="1" outlineLevel="1" x14ac:dyDescent="0.2">
      <c r="A52" s="5">
        <f t="shared" si="6"/>
        <v>49</v>
      </c>
      <c r="B52" t="s">
        <v>162</v>
      </c>
      <c r="C52" s="5" t="s">
        <v>56</v>
      </c>
      <c r="D52" s="5" t="s">
        <v>57</v>
      </c>
      <c r="E52" s="5" t="s">
        <v>41</v>
      </c>
      <c r="F52" s="6">
        <f>IFERROR(INDEX(TankaData[1コマ単価],MATCH(E52,TankaData[コース],0)),0)</f>
        <v>4000</v>
      </c>
      <c r="G52" s="7">
        <v>4</v>
      </c>
      <c r="H52" s="8">
        <f t="shared" si="7"/>
        <v>16</v>
      </c>
      <c r="I52" s="6">
        <f>IFERROR(INDEX(TankaData[教材費(標準)],MATCH(E52,TankaData[コース],0)),0)</f>
        <v>7000</v>
      </c>
      <c r="J52" s="6">
        <f t="shared" si="8"/>
        <v>64000</v>
      </c>
      <c r="K52" s="6">
        <f t="shared" si="9"/>
        <v>78100</v>
      </c>
      <c r="L52" t="s">
        <v>163</v>
      </c>
      <c r="M52" s="9" t="s">
        <v>59</v>
      </c>
      <c r="N52" s="10" t="str">
        <f t="shared" si="10"/>
        <v>教室：本校／コース：個別指導S／コマ数：16コマ／授業料：64,000円／教材費：7,000円／消費税：7,100円／請求額：78,100円</v>
      </c>
      <c r="O52" t="str">
        <f t="shared" si="11"/>
        <v>49：石井結衣</v>
      </c>
    </row>
    <row r="53" spans="1:15" hidden="1" outlineLevel="1" x14ac:dyDescent="0.2">
      <c r="A53" s="5">
        <f t="shared" si="6"/>
        <v>50</v>
      </c>
      <c r="B53" t="s">
        <v>164</v>
      </c>
      <c r="C53" s="5" t="s">
        <v>56</v>
      </c>
      <c r="D53" s="5" t="s">
        <v>114</v>
      </c>
      <c r="E53" s="5" t="s">
        <v>44</v>
      </c>
      <c r="F53" s="6">
        <f>IFERROR(INDEX(TankaData[1コマ単価],MATCH(E53,TankaData[コース],0)),0)</f>
        <v>2100</v>
      </c>
      <c r="G53" s="7">
        <v>2</v>
      </c>
      <c r="H53" s="8">
        <f t="shared" si="7"/>
        <v>8</v>
      </c>
      <c r="I53" s="6">
        <f>IFERROR(INDEX(TankaData[教材費(標準)],MATCH(E53,TankaData[コース],0)),0)</f>
        <v>3000</v>
      </c>
      <c r="J53" s="6">
        <f t="shared" si="8"/>
        <v>16800</v>
      </c>
      <c r="K53" s="6">
        <f t="shared" si="9"/>
        <v>21780</v>
      </c>
      <c r="L53" t="s">
        <v>165</v>
      </c>
      <c r="M53" s="9" t="s">
        <v>59</v>
      </c>
      <c r="N53" s="10" t="str">
        <f t="shared" si="10"/>
        <v>教室：本校／コース：映像授業／コマ数：8コマ／授業料：16,800円／教材費：3,000円／消費税：1,980円／請求額：21,780円</v>
      </c>
      <c r="O53" t="str">
        <f t="shared" si="11"/>
        <v>50：小川心春</v>
      </c>
    </row>
    <row r="54" spans="1:15" hidden="1" outlineLevel="1" x14ac:dyDescent="0.2">
      <c r="A54" s="5">
        <f t="shared" si="6"/>
        <v>51</v>
      </c>
      <c r="B54" t="s">
        <v>166</v>
      </c>
      <c r="C54" s="5" t="s">
        <v>56</v>
      </c>
      <c r="D54" s="5" t="s">
        <v>57</v>
      </c>
      <c r="E54" s="5" t="s">
        <v>43</v>
      </c>
      <c r="F54" s="6">
        <f>IFERROR(INDEX(TankaData[1コマ単価],MATCH(E54,TankaData[コース],0)),0)</f>
        <v>2500</v>
      </c>
      <c r="G54" s="7">
        <v>4</v>
      </c>
      <c r="H54" s="8">
        <f t="shared" si="7"/>
        <v>16</v>
      </c>
      <c r="I54" s="6">
        <f>IFERROR(INDEX(TankaData[教材費(標準)],MATCH(E54,TankaData[コース],0)),0)</f>
        <v>4500</v>
      </c>
      <c r="J54" s="6">
        <f t="shared" si="8"/>
        <v>40000</v>
      </c>
      <c r="K54" s="6">
        <f t="shared" si="9"/>
        <v>48950</v>
      </c>
      <c r="L54" t="s">
        <v>167</v>
      </c>
      <c r="M54" s="9" t="s">
        <v>59</v>
      </c>
      <c r="N54" s="10" t="str">
        <f t="shared" si="10"/>
        <v>教室：本校／コース：集団授業／コマ数：16コマ／授業料：40,000円／教材費：4,500円／消費税：4,450円／請求額：48,950円</v>
      </c>
      <c r="O54" t="str">
        <f t="shared" si="11"/>
        <v>51：青木彩花</v>
      </c>
    </row>
    <row r="55" spans="1:15" hidden="1" outlineLevel="1" x14ac:dyDescent="0.2">
      <c r="A55" s="5">
        <f t="shared" si="6"/>
        <v>52</v>
      </c>
      <c r="B55" t="s">
        <v>168</v>
      </c>
      <c r="C55" s="5" t="s">
        <v>56</v>
      </c>
      <c r="D55" s="5" t="s">
        <v>64</v>
      </c>
      <c r="E55" s="5" t="s">
        <v>42</v>
      </c>
      <c r="F55" s="6">
        <f>IFERROR(INDEX(TankaData[1コマ単価],MATCH(E55,TankaData[コース],0)),0)</f>
        <v>3500</v>
      </c>
      <c r="G55" s="7">
        <v>4</v>
      </c>
      <c r="H55" s="8">
        <f t="shared" si="7"/>
        <v>16</v>
      </c>
      <c r="I55" s="6">
        <f>IFERROR(INDEX(TankaData[教材費(標準)],MATCH(E55,TankaData[コース],0)),0)</f>
        <v>6000</v>
      </c>
      <c r="J55" s="6">
        <f t="shared" si="8"/>
        <v>56000</v>
      </c>
      <c r="K55" s="6">
        <f t="shared" si="9"/>
        <v>68200</v>
      </c>
      <c r="L55" t="s">
        <v>169</v>
      </c>
      <c r="M55" s="9" t="s">
        <v>59</v>
      </c>
      <c r="N55" s="10" t="str">
        <f t="shared" si="10"/>
        <v>教室：本校／コース：個別指導／コマ数：16コマ／授業料：56,000円／教材費：6,000円／消費税：6,200円／請求額：68,200円</v>
      </c>
      <c r="O55" t="str">
        <f t="shared" si="11"/>
        <v>52：福田蓮</v>
      </c>
    </row>
    <row r="56" spans="1:15" hidden="1" outlineLevel="1" x14ac:dyDescent="0.2">
      <c r="A56" s="5">
        <f t="shared" si="6"/>
        <v>53</v>
      </c>
      <c r="B56" t="s">
        <v>170</v>
      </c>
      <c r="C56" s="5" t="s">
        <v>56</v>
      </c>
      <c r="D56" s="5" t="s">
        <v>64</v>
      </c>
      <c r="E56" s="5" t="s">
        <v>43</v>
      </c>
      <c r="F56" s="6">
        <f>IFERROR(INDEX(TankaData[1コマ単価],MATCH(E56,TankaData[コース],0)),0)</f>
        <v>2500</v>
      </c>
      <c r="G56" s="7">
        <v>4</v>
      </c>
      <c r="H56" s="8">
        <f t="shared" si="7"/>
        <v>16</v>
      </c>
      <c r="I56" s="6">
        <f>IFERROR(INDEX(TankaData[教材費(標準)],MATCH(E56,TankaData[コース],0)),0)</f>
        <v>4500</v>
      </c>
      <c r="J56" s="6">
        <f t="shared" si="8"/>
        <v>40000</v>
      </c>
      <c r="K56" s="6">
        <f t="shared" si="9"/>
        <v>48950</v>
      </c>
      <c r="L56" t="s">
        <v>171</v>
      </c>
      <c r="M56" s="9" t="s">
        <v>59</v>
      </c>
      <c r="N56" s="10" t="str">
        <f t="shared" si="10"/>
        <v>教室：本校／コース：集団授業／コマ数：16コマ／授業料：40,000円／教材費：4,500円／消費税：4,450円／請求額：48,950円</v>
      </c>
      <c r="O56" t="str">
        <f t="shared" si="11"/>
        <v>53：伊藤大輝</v>
      </c>
    </row>
    <row r="57" spans="1:15" hidden="1" outlineLevel="1" x14ac:dyDescent="0.2">
      <c r="A57" s="5">
        <f t="shared" si="6"/>
        <v>54</v>
      </c>
      <c r="B57" t="s">
        <v>172</v>
      </c>
      <c r="C57" s="5" t="s">
        <v>56</v>
      </c>
      <c r="D57" s="5" t="s">
        <v>76</v>
      </c>
      <c r="E57" s="5" t="s">
        <v>44</v>
      </c>
      <c r="F57" s="6">
        <f>IFERROR(INDEX(TankaData[1コマ単価],MATCH(E57,TankaData[コース],0)),0)</f>
        <v>2100</v>
      </c>
      <c r="G57" s="7">
        <v>3</v>
      </c>
      <c r="H57" s="8">
        <f t="shared" si="7"/>
        <v>12</v>
      </c>
      <c r="I57" s="6">
        <f>IFERROR(INDEX(TankaData[教材費(標準)],MATCH(E57,TankaData[コース],0)),0)</f>
        <v>3000</v>
      </c>
      <c r="J57" s="6">
        <f t="shared" si="8"/>
        <v>25200</v>
      </c>
      <c r="K57" s="6">
        <f t="shared" si="9"/>
        <v>31020</v>
      </c>
      <c r="L57" t="s">
        <v>173</v>
      </c>
      <c r="M57" s="9" t="s">
        <v>59</v>
      </c>
      <c r="N57" s="10" t="str">
        <f t="shared" si="10"/>
        <v>教室：本校／コース：映像授業／コマ数：12コマ／授業料：25,200円／教材費：3,000円／消費税：2,820円／請求額：31,020円</v>
      </c>
      <c r="O57" t="str">
        <f t="shared" si="11"/>
        <v>54：山下優奈</v>
      </c>
    </row>
    <row r="58" spans="1:15" hidden="1" outlineLevel="1" x14ac:dyDescent="0.2">
      <c r="A58" s="5">
        <f t="shared" si="6"/>
        <v>55</v>
      </c>
      <c r="B58" t="s">
        <v>174</v>
      </c>
      <c r="C58" s="5" t="s">
        <v>56</v>
      </c>
      <c r="D58" s="5" t="s">
        <v>99</v>
      </c>
      <c r="E58" s="5" t="s">
        <v>44</v>
      </c>
      <c r="F58" s="6">
        <f>IFERROR(INDEX(TankaData[1コマ単価],MATCH(E58,TankaData[コース],0)),0)</f>
        <v>2100</v>
      </c>
      <c r="G58" s="7">
        <v>1</v>
      </c>
      <c r="H58" s="8">
        <f t="shared" si="7"/>
        <v>4</v>
      </c>
      <c r="I58" s="6">
        <f>IFERROR(INDEX(TankaData[教材費(標準)],MATCH(E58,TankaData[コース],0)),0)</f>
        <v>3000</v>
      </c>
      <c r="J58" s="6">
        <f t="shared" si="8"/>
        <v>8400</v>
      </c>
      <c r="K58" s="6">
        <f t="shared" si="9"/>
        <v>12540</v>
      </c>
      <c r="L58" t="s">
        <v>175</v>
      </c>
      <c r="M58" s="9" t="s">
        <v>59</v>
      </c>
      <c r="N58" s="10" t="str">
        <f t="shared" si="10"/>
        <v>教室：本校／コース：映像授業／コマ数：4コマ／授業料：8,400円／教材費：3,000円／消費税：1,140円／請求額：12,540円</v>
      </c>
      <c r="O58" t="str">
        <f t="shared" si="11"/>
        <v>55：橋本蓮</v>
      </c>
    </row>
    <row r="59" spans="1:15" hidden="1" outlineLevel="1" x14ac:dyDescent="0.2">
      <c r="A59" s="5">
        <f t="shared" si="6"/>
        <v>56</v>
      </c>
      <c r="B59" t="s">
        <v>176</v>
      </c>
      <c r="C59" s="5" t="s">
        <v>56</v>
      </c>
      <c r="D59" s="5" t="s">
        <v>67</v>
      </c>
      <c r="E59" s="5" t="s">
        <v>41</v>
      </c>
      <c r="F59" s="6">
        <f>IFERROR(INDEX(TankaData[1コマ単価],MATCH(E59,TankaData[コース],0)),0)</f>
        <v>4000</v>
      </c>
      <c r="G59" s="7">
        <v>3</v>
      </c>
      <c r="H59" s="8">
        <f t="shared" si="7"/>
        <v>12</v>
      </c>
      <c r="I59" s="6">
        <f>IFERROR(INDEX(TankaData[教材費(標準)],MATCH(E59,TankaData[コース],0)),0)</f>
        <v>7000</v>
      </c>
      <c r="J59" s="6">
        <f t="shared" si="8"/>
        <v>48000</v>
      </c>
      <c r="K59" s="6">
        <f t="shared" si="9"/>
        <v>60500</v>
      </c>
      <c r="L59" t="s">
        <v>177</v>
      </c>
      <c r="M59" s="9" t="s">
        <v>59</v>
      </c>
      <c r="N59" s="10" t="str">
        <f t="shared" si="10"/>
        <v>教室：本校／コース：個別指導S／コマ数：12コマ／授業料：48,000円／教材費：7,000円／消費税：5,500円／請求額：60,500円</v>
      </c>
      <c r="O59" t="str">
        <f t="shared" si="11"/>
        <v>56：遠藤彩花</v>
      </c>
    </row>
    <row r="60" spans="1:15" hidden="1" outlineLevel="1" x14ac:dyDescent="0.2">
      <c r="A60" s="5">
        <f t="shared" si="6"/>
        <v>57</v>
      </c>
      <c r="B60" t="s">
        <v>178</v>
      </c>
      <c r="C60" s="5" t="s">
        <v>56</v>
      </c>
      <c r="D60" s="5" t="s">
        <v>81</v>
      </c>
      <c r="E60" s="5" t="s">
        <v>41</v>
      </c>
      <c r="F60" s="6">
        <f>IFERROR(INDEX(TankaData[1コマ単価],MATCH(E60,TankaData[コース],0)),0)</f>
        <v>4000</v>
      </c>
      <c r="G60" s="7">
        <v>1</v>
      </c>
      <c r="H60" s="8">
        <f t="shared" si="7"/>
        <v>4</v>
      </c>
      <c r="I60" s="6">
        <f>IFERROR(INDEX(TankaData[教材費(標準)],MATCH(E60,TankaData[コース],0)),0)</f>
        <v>7000</v>
      </c>
      <c r="J60" s="6">
        <f t="shared" si="8"/>
        <v>16000</v>
      </c>
      <c r="K60" s="6">
        <f t="shared" si="9"/>
        <v>25300</v>
      </c>
      <c r="L60" t="s">
        <v>179</v>
      </c>
      <c r="M60" s="9" t="s">
        <v>59</v>
      </c>
      <c r="N60" s="10" t="str">
        <f t="shared" si="10"/>
        <v>教室：本校／コース：個別指導S／コマ数：4コマ／授業料：16,000円／教材費：7,000円／消費税：2,300円／請求額：25,300円</v>
      </c>
      <c r="O60" t="str">
        <f t="shared" si="11"/>
        <v>57：林一輝</v>
      </c>
    </row>
    <row r="61" spans="1:15" hidden="1" outlineLevel="1" x14ac:dyDescent="0.2">
      <c r="A61" s="5">
        <f t="shared" si="6"/>
        <v>58</v>
      </c>
      <c r="B61" t="s">
        <v>180</v>
      </c>
      <c r="C61" s="5" t="s">
        <v>56</v>
      </c>
      <c r="D61" s="5" t="s">
        <v>57</v>
      </c>
      <c r="E61" s="5" t="s">
        <v>42</v>
      </c>
      <c r="F61" s="6">
        <f>IFERROR(INDEX(TankaData[1コマ単価],MATCH(E61,TankaData[コース],0)),0)</f>
        <v>3500</v>
      </c>
      <c r="G61" s="7">
        <v>2</v>
      </c>
      <c r="H61" s="8">
        <f t="shared" si="7"/>
        <v>8</v>
      </c>
      <c r="I61" s="6">
        <f>IFERROR(INDEX(TankaData[教材費(標準)],MATCH(E61,TankaData[コース],0)),0)</f>
        <v>6000</v>
      </c>
      <c r="J61" s="6">
        <f t="shared" si="8"/>
        <v>28000</v>
      </c>
      <c r="K61" s="6">
        <f t="shared" si="9"/>
        <v>37400</v>
      </c>
      <c r="L61" t="s">
        <v>181</v>
      </c>
      <c r="M61" s="9" t="s">
        <v>59</v>
      </c>
      <c r="N61" s="10" t="str">
        <f t="shared" si="10"/>
        <v>教室：本校／コース：個別指導／コマ数：8コマ／授業料：28,000円／教材費：6,000円／消費税：3,400円／請求額：37,400円</v>
      </c>
      <c r="O61" t="str">
        <f t="shared" si="11"/>
        <v>58：小野咲良</v>
      </c>
    </row>
    <row r="62" spans="1:15" hidden="1" outlineLevel="1" x14ac:dyDescent="0.2">
      <c r="A62" s="5">
        <f t="shared" si="6"/>
        <v>59</v>
      </c>
      <c r="B62" t="s">
        <v>182</v>
      </c>
      <c r="C62" s="5" t="s">
        <v>56</v>
      </c>
      <c r="D62" s="5" t="s">
        <v>57</v>
      </c>
      <c r="E62" s="5" t="s">
        <v>42</v>
      </c>
      <c r="F62" s="6">
        <f>IFERROR(INDEX(TankaData[1コマ単価],MATCH(E62,TankaData[コース],0)),0)</f>
        <v>3500</v>
      </c>
      <c r="G62" s="7">
        <v>2</v>
      </c>
      <c r="H62" s="8">
        <f t="shared" si="7"/>
        <v>8</v>
      </c>
      <c r="I62" s="6">
        <f>IFERROR(INDEX(TankaData[教材費(標準)],MATCH(E62,TankaData[コース],0)),0)</f>
        <v>6000</v>
      </c>
      <c r="J62" s="6">
        <f t="shared" si="8"/>
        <v>28000</v>
      </c>
      <c r="K62" s="6">
        <f t="shared" si="9"/>
        <v>37400</v>
      </c>
      <c r="L62" t="s">
        <v>183</v>
      </c>
      <c r="M62" s="9" t="s">
        <v>59</v>
      </c>
      <c r="N62" s="10" t="str">
        <f t="shared" si="10"/>
        <v>教室：本校／コース：個別指導／コマ数：8コマ／授業料：28,000円／教材費：6,000円／消費税：3,400円／請求額：37,400円</v>
      </c>
      <c r="O62" t="str">
        <f t="shared" si="11"/>
        <v>59：後藤紬</v>
      </c>
    </row>
    <row r="63" spans="1:15" hidden="1" outlineLevel="1" x14ac:dyDescent="0.2">
      <c r="A63" s="5">
        <f t="shared" si="6"/>
        <v>60</v>
      </c>
      <c r="B63" t="s">
        <v>184</v>
      </c>
      <c r="C63" s="5" t="s">
        <v>56</v>
      </c>
      <c r="D63" s="5" t="s">
        <v>114</v>
      </c>
      <c r="E63" s="5" t="s">
        <v>44</v>
      </c>
      <c r="F63" s="6">
        <f>IFERROR(INDEX(TankaData[1コマ単価],MATCH(E63,TankaData[コース],0)),0)</f>
        <v>2100</v>
      </c>
      <c r="G63" s="7">
        <v>1</v>
      </c>
      <c r="H63" s="8">
        <f t="shared" si="7"/>
        <v>4</v>
      </c>
      <c r="I63" s="6">
        <f>IFERROR(INDEX(TankaData[教材費(標準)],MATCH(E63,TankaData[コース],0)),0)</f>
        <v>3000</v>
      </c>
      <c r="J63" s="6">
        <f t="shared" si="8"/>
        <v>8400</v>
      </c>
      <c r="K63" s="6">
        <f t="shared" si="9"/>
        <v>12540</v>
      </c>
      <c r="L63" t="s">
        <v>185</v>
      </c>
      <c r="M63" s="9" t="s">
        <v>59</v>
      </c>
      <c r="N63" s="10" t="str">
        <f t="shared" si="10"/>
        <v>教室：本校／コース：映像授業／コマ数：4コマ／授業料：8,400円／教材費：3,000円／消費税：1,140円／請求額：12,540円</v>
      </c>
      <c r="O63" t="str">
        <f t="shared" si="11"/>
        <v>60：小林颯太</v>
      </c>
    </row>
    <row r="64" spans="1:15" hidden="1" outlineLevel="1" x14ac:dyDescent="0.2">
      <c r="A64" s="5">
        <f t="shared" si="6"/>
        <v>61</v>
      </c>
      <c r="B64" t="s">
        <v>186</v>
      </c>
      <c r="C64" s="5" t="s">
        <v>56</v>
      </c>
      <c r="D64" s="5" t="s">
        <v>81</v>
      </c>
      <c r="E64" s="5" t="s">
        <v>44</v>
      </c>
      <c r="F64" s="6">
        <f>IFERROR(INDEX(TankaData[1コマ単価],MATCH(E64,TankaData[コース],0)),0)</f>
        <v>2100</v>
      </c>
      <c r="G64" s="7">
        <v>3</v>
      </c>
      <c r="H64" s="8">
        <f t="shared" si="7"/>
        <v>12</v>
      </c>
      <c r="I64" s="6">
        <f>IFERROR(INDEX(TankaData[教材費(標準)],MATCH(E64,TankaData[コース],0)),0)</f>
        <v>3000</v>
      </c>
      <c r="J64" s="6">
        <f t="shared" si="8"/>
        <v>25200</v>
      </c>
      <c r="K64" s="6">
        <f t="shared" si="9"/>
        <v>31020</v>
      </c>
      <c r="L64" t="s">
        <v>187</v>
      </c>
      <c r="M64" s="9" t="s">
        <v>59</v>
      </c>
      <c r="N64" s="10" t="str">
        <f t="shared" si="10"/>
        <v>教室：本校／コース：映像授業／コマ数：12コマ／授業料：25,200円／教材費：3,000円／消費税：2,820円／請求額：31,020円</v>
      </c>
      <c r="O64" t="str">
        <f t="shared" si="11"/>
        <v>61：伊藤駿</v>
      </c>
    </row>
    <row r="65" spans="1:15" hidden="1" outlineLevel="1" x14ac:dyDescent="0.2">
      <c r="A65" s="5">
        <f t="shared" si="6"/>
        <v>62</v>
      </c>
      <c r="B65" t="s">
        <v>188</v>
      </c>
      <c r="C65" s="5" t="s">
        <v>56</v>
      </c>
      <c r="D65" s="5" t="s">
        <v>64</v>
      </c>
      <c r="E65" s="5" t="s">
        <v>42</v>
      </c>
      <c r="F65" s="6">
        <f>IFERROR(INDEX(TankaData[1コマ単価],MATCH(E65,TankaData[コース],0)),0)</f>
        <v>3500</v>
      </c>
      <c r="G65" s="7">
        <v>5</v>
      </c>
      <c r="H65" s="8">
        <f t="shared" si="7"/>
        <v>20</v>
      </c>
      <c r="I65" s="6">
        <f>IFERROR(INDEX(TankaData[教材費(標準)],MATCH(E65,TankaData[コース],0)),0)</f>
        <v>6000</v>
      </c>
      <c r="J65" s="6">
        <f t="shared" si="8"/>
        <v>70000</v>
      </c>
      <c r="K65" s="6">
        <f t="shared" si="9"/>
        <v>83600</v>
      </c>
      <c r="L65" t="s">
        <v>189</v>
      </c>
      <c r="M65" s="9" t="s">
        <v>59</v>
      </c>
      <c r="N65" s="10" t="str">
        <f t="shared" si="10"/>
        <v>教室：本校／コース：個別指導／コマ数：20コマ／授業料：70,000円／教材費：6,000円／消費税：7,600円／請求額：83,600円</v>
      </c>
      <c r="O65" t="str">
        <f t="shared" si="11"/>
        <v>62：山下大和</v>
      </c>
    </row>
    <row r="66" spans="1:15" hidden="1" outlineLevel="1" x14ac:dyDescent="0.2">
      <c r="A66" s="5">
        <f t="shared" si="6"/>
        <v>63</v>
      </c>
      <c r="B66" t="s">
        <v>190</v>
      </c>
      <c r="C66" s="5" t="s">
        <v>56</v>
      </c>
      <c r="D66" s="5" t="s">
        <v>99</v>
      </c>
      <c r="E66" s="5" t="s">
        <v>42</v>
      </c>
      <c r="F66" s="6">
        <f>IFERROR(INDEX(TankaData[1コマ単価],MATCH(E66,TankaData[コース],0)),0)</f>
        <v>3500</v>
      </c>
      <c r="G66" s="7">
        <v>3</v>
      </c>
      <c r="H66" s="8">
        <f t="shared" si="7"/>
        <v>12</v>
      </c>
      <c r="I66" s="6">
        <f>IFERROR(INDEX(TankaData[教材費(標準)],MATCH(E66,TankaData[コース],0)),0)</f>
        <v>6000</v>
      </c>
      <c r="J66" s="6">
        <f t="shared" si="8"/>
        <v>42000</v>
      </c>
      <c r="K66" s="6">
        <f t="shared" si="9"/>
        <v>52800</v>
      </c>
      <c r="L66" t="s">
        <v>191</v>
      </c>
      <c r="M66" s="9" t="s">
        <v>59</v>
      </c>
      <c r="N66" s="10" t="str">
        <f t="shared" si="10"/>
        <v>教室：本校／コース：個別指導／コマ数：12コマ／授業料：42,000円／教材費：6,000円／消費税：4,800円／請求額：52,800円</v>
      </c>
      <c r="O66" t="str">
        <f t="shared" si="11"/>
        <v>63：後藤翔太</v>
      </c>
    </row>
    <row r="67" spans="1:15" hidden="1" outlineLevel="1" x14ac:dyDescent="0.2">
      <c r="A67" s="5">
        <f t="shared" si="6"/>
        <v>64</v>
      </c>
      <c r="B67" t="s">
        <v>192</v>
      </c>
      <c r="C67" s="5" t="s">
        <v>56</v>
      </c>
      <c r="D67" s="5" t="s">
        <v>99</v>
      </c>
      <c r="E67" s="5" t="s">
        <v>41</v>
      </c>
      <c r="F67" s="6">
        <f>IFERROR(INDEX(TankaData[1コマ単価],MATCH(E67,TankaData[コース],0)),0)</f>
        <v>4000</v>
      </c>
      <c r="G67" s="7">
        <v>3</v>
      </c>
      <c r="H67" s="8">
        <f t="shared" si="7"/>
        <v>12</v>
      </c>
      <c r="I67" s="6">
        <f>IFERROR(INDEX(TankaData[教材費(標準)],MATCH(E67,TankaData[コース],0)),0)</f>
        <v>7000</v>
      </c>
      <c r="J67" s="6">
        <f t="shared" si="8"/>
        <v>48000</v>
      </c>
      <c r="K67" s="6">
        <f t="shared" si="9"/>
        <v>60500</v>
      </c>
      <c r="L67" t="s">
        <v>193</v>
      </c>
      <c r="M67" s="9" t="s">
        <v>59</v>
      </c>
      <c r="N67" s="10" t="str">
        <f t="shared" si="10"/>
        <v>教室：本校／コース：個別指導S／コマ数：12コマ／授業料：48,000円／教材費：7,000円／消費税：5,500円／請求額：60,500円</v>
      </c>
      <c r="O67" t="str">
        <f t="shared" si="11"/>
        <v>64：鈴木結衣</v>
      </c>
    </row>
    <row r="68" spans="1:15" hidden="1" outlineLevel="1" x14ac:dyDescent="0.2">
      <c r="A68" s="5">
        <f t="shared" ref="A68:A99" si="12">ROW()-3</f>
        <v>65</v>
      </c>
      <c r="B68" t="s">
        <v>194</v>
      </c>
      <c r="C68" s="5" t="s">
        <v>56</v>
      </c>
      <c r="D68" s="5" t="s">
        <v>61</v>
      </c>
      <c r="E68" s="5" t="s">
        <v>44</v>
      </c>
      <c r="F68" s="6">
        <f>IFERROR(INDEX(TankaData[1コマ単価],MATCH(E68,TankaData[コース],0)),0)</f>
        <v>2100</v>
      </c>
      <c r="G68" s="7">
        <v>2</v>
      </c>
      <c r="H68" s="8">
        <f t="shared" ref="H68:H99" si="13">G68*4</f>
        <v>8</v>
      </c>
      <c r="I68" s="6">
        <f>IFERROR(INDEX(TankaData[教材費(標準)],MATCH(E68,TankaData[コース],0)),0)</f>
        <v>3000</v>
      </c>
      <c r="J68" s="6">
        <f t="shared" ref="J68:J99" si="14">F68*H68</f>
        <v>16800</v>
      </c>
      <c r="K68" s="6">
        <f t="shared" ref="K68:K99" si="15">J68+I68+ROUND((J68+I68)*0.1,0)</f>
        <v>21780</v>
      </c>
      <c r="L68" t="s">
        <v>195</v>
      </c>
      <c r="M68" s="9" t="s">
        <v>59</v>
      </c>
      <c r="N68" s="10" t="str">
        <f t="shared" ref="N68:N99" si="16">"教室："&amp;C68&amp;"／コース："&amp;E68&amp;"／コマ数："&amp;H68&amp;"コマ／授業料："&amp;TEXT(J68,"#,##0")&amp;"円／教材費："&amp;TEXT(I68,"#,##0")&amp;"円／消費税："&amp;TEXT(ROUND((J68+I68)*0.1,0),"#,##0")&amp;"円／請求額："&amp;TEXT(K68,"#,##0")&amp;"円"</f>
        <v>教室：本校／コース：映像授業／コマ数：8コマ／授業料：16,800円／教材費：3,000円／消費税：1,980円／請求額：21,780円</v>
      </c>
      <c r="O68" t="str">
        <f t="shared" ref="O68:O99" si="17">A68&amp;"："&amp;B68</f>
        <v>65：中野一輝</v>
      </c>
    </row>
    <row r="69" spans="1:15" hidden="1" outlineLevel="1" x14ac:dyDescent="0.2">
      <c r="A69" s="5">
        <f t="shared" si="12"/>
        <v>66</v>
      </c>
      <c r="B69" t="s">
        <v>196</v>
      </c>
      <c r="C69" s="5" t="s">
        <v>56</v>
      </c>
      <c r="D69" s="5" t="s">
        <v>99</v>
      </c>
      <c r="E69" s="5" t="s">
        <v>42</v>
      </c>
      <c r="F69" s="6">
        <f>IFERROR(INDEX(TankaData[1コマ単価],MATCH(E69,TankaData[コース],0)),0)</f>
        <v>3500</v>
      </c>
      <c r="G69" s="7">
        <v>1</v>
      </c>
      <c r="H69" s="8">
        <f t="shared" si="13"/>
        <v>4</v>
      </c>
      <c r="I69" s="6">
        <f>IFERROR(INDEX(TankaData[教材費(標準)],MATCH(E69,TankaData[コース],0)),0)</f>
        <v>6000</v>
      </c>
      <c r="J69" s="6">
        <f t="shared" si="14"/>
        <v>14000</v>
      </c>
      <c r="K69" s="6">
        <f t="shared" si="15"/>
        <v>22000</v>
      </c>
      <c r="L69" t="s">
        <v>197</v>
      </c>
      <c r="M69" s="9" t="s">
        <v>59</v>
      </c>
      <c r="N69" s="10" t="str">
        <f t="shared" si="16"/>
        <v>教室：本校／コース：個別指導／コマ数：4コマ／授業料：14,000円／教材費：6,000円／消費税：2,000円／請求額：22,000円</v>
      </c>
      <c r="O69" t="str">
        <f t="shared" si="17"/>
        <v>66：後藤湊</v>
      </c>
    </row>
    <row r="70" spans="1:15" hidden="1" outlineLevel="1" x14ac:dyDescent="0.2">
      <c r="A70" s="5">
        <f t="shared" si="12"/>
        <v>67</v>
      </c>
      <c r="B70" t="s">
        <v>198</v>
      </c>
      <c r="C70" s="5" t="s">
        <v>56</v>
      </c>
      <c r="D70" s="5" t="s">
        <v>76</v>
      </c>
      <c r="E70" s="5" t="s">
        <v>41</v>
      </c>
      <c r="F70" s="6">
        <f>IFERROR(INDEX(TankaData[1コマ単価],MATCH(E70,TankaData[コース],0)),0)</f>
        <v>4000</v>
      </c>
      <c r="G70" s="7">
        <v>5</v>
      </c>
      <c r="H70" s="8">
        <f t="shared" si="13"/>
        <v>20</v>
      </c>
      <c r="I70" s="6">
        <f>IFERROR(INDEX(TankaData[教材費(標準)],MATCH(E70,TankaData[コース],0)),0)</f>
        <v>7000</v>
      </c>
      <c r="J70" s="6">
        <f t="shared" si="14"/>
        <v>80000</v>
      </c>
      <c r="K70" s="6">
        <f t="shared" si="15"/>
        <v>95700</v>
      </c>
      <c r="L70" t="s">
        <v>199</v>
      </c>
      <c r="M70" s="9" t="s">
        <v>59</v>
      </c>
      <c r="N70" s="10" t="str">
        <f t="shared" si="16"/>
        <v>教室：本校／コース：個別指導S／コマ数：20コマ／授業料：80,000円／教材費：7,000円／消費税：8,700円／請求額：95,700円</v>
      </c>
      <c r="O70" t="str">
        <f t="shared" si="17"/>
        <v>67：佐々木さくら</v>
      </c>
    </row>
    <row r="71" spans="1:15" hidden="1" outlineLevel="1" x14ac:dyDescent="0.2">
      <c r="A71" s="5">
        <f t="shared" si="12"/>
        <v>68</v>
      </c>
      <c r="B71" t="s">
        <v>200</v>
      </c>
      <c r="C71" s="5" t="s">
        <v>56</v>
      </c>
      <c r="D71" s="5" t="s">
        <v>57</v>
      </c>
      <c r="E71" s="5" t="s">
        <v>43</v>
      </c>
      <c r="F71" s="6">
        <f>IFERROR(INDEX(TankaData[1コマ単価],MATCH(E71,TankaData[コース],0)),0)</f>
        <v>2500</v>
      </c>
      <c r="G71" s="7">
        <v>5</v>
      </c>
      <c r="H71" s="8">
        <f t="shared" si="13"/>
        <v>20</v>
      </c>
      <c r="I71" s="6">
        <f>IFERROR(INDEX(TankaData[教材費(標準)],MATCH(E71,TankaData[コース],0)),0)</f>
        <v>4500</v>
      </c>
      <c r="J71" s="6">
        <f t="shared" si="14"/>
        <v>50000</v>
      </c>
      <c r="K71" s="6">
        <f t="shared" si="15"/>
        <v>59950</v>
      </c>
      <c r="L71" t="s">
        <v>201</v>
      </c>
      <c r="M71" s="9" t="s">
        <v>59</v>
      </c>
      <c r="N71" s="10" t="str">
        <f t="shared" si="16"/>
        <v>教室：本校／コース：集団授業／コマ数：20コマ／授業料：50,000円／教材費：4,500円／消費税：5,450円／請求額：59,950円</v>
      </c>
      <c r="O71" t="str">
        <f t="shared" si="17"/>
        <v>68：松本拓也</v>
      </c>
    </row>
    <row r="72" spans="1:15" hidden="1" outlineLevel="1" x14ac:dyDescent="0.2">
      <c r="A72" s="5">
        <f t="shared" si="12"/>
        <v>69</v>
      </c>
      <c r="B72" t="s">
        <v>202</v>
      </c>
      <c r="C72" s="5" t="s">
        <v>56</v>
      </c>
      <c r="D72" s="5" t="s">
        <v>61</v>
      </c>
      <c r="E72" s="5" t="s">
        <v>43</v>
      </c>
      <c r="F72" s="6">
        <f>IFERROR(INDEX(TankaData[1コマ単価],MATCH(E72,TankaData[コース],0)),0)</f>
        <v>2500</v>
      </c>
      <c r="G72" s="7">
        <v>1</v>
      </c>
      <c r="H72" s="8">
        <f t="shared" si="13"/>
        <v>4</v>
      </c>
      <c r="I72" s="6">
        <f>IFERROR(INDEX(TankaData[教材費(標準)],MATCH(E72,TankaData[コース],0)),0)</f>
        <v>4500</v>
      </c>
      <c r="J72" s="6">
        <f t="shared" si="14"/>
        <v>10000</v>
      </c>
      <c r="K72" s="6">
        <f t="shared" si="15"/>
        <v>15950</v>
      </c>
      <c r="L72" t="s">
        <v>203</v>
      </c>
      <c r="M72" s="9" t="s">
        <v>59</v>
      </c>
      <c r="N72" s="10" t="str">
        <f t="shared" si="16"/>
        <v>教室：本校／コース：集団授業／コマ数：4コマ／授業料：10,000円／教材費：4,500円／消費税：1,450円／請求額：15,950円</v>
      </c>
      <c r="O72" t="str">
        <f t="shared" si="17"/>
        <v>69：高橋陽菜</v>
      </c>
    </row>
    <row r="73" spans="1:15" hidden="1" outlineLevel="1" x14ac:dyDescent="0.2">
      <c r="A73" s="5">
        <f t="shared" si="12"/>
        <v>70</v>
      </c>
      <c r="B73" t="s">
        <v>204</v>
      </c>
      <c r="C73" s="5" t="s">
        <v>56</v>
      </c>
      <c r="D73" s="5" t="s">
        <v>67</v>
      </c>
      <c r="E73" s="5" t="s">
        <v>43</v>
      </c>
      <c r="F73" s="6">
        <f>IFERROR(INDEX(TankaData[1コマ単価],MATCH(E73,TankaData[コース],0)),0)</f>
        <v>2500</v>
      </c>
      <c r="G73" s="7">
        <v>1</v>
      </c>
      <c r="H73" s="8">
        <f t="shared" si="13"/>
        <v>4</v>
      </c>
      <c r="I73" s="6">
        <f>IFERROR(INDEX(TankaData[教材費(標準)],MATCH(E73,TankaData[コース],0)),0)</f>
        <v>4500</v>
      </c>
      <c r="J73" s="6">
        <f t="shared" si="14"/>
        <v>10000</v>
      </c>
      <c r="K73" s="6">
        <f t="shared" si="15"/>
        <v>15950</v>
      </c>
      <c r="L73" t="s">
        <v>205</v>
      </c>
      <c r="M73" s="9" t="s">
        <v>59</v>
      </c>
      <c r="N73" s="10" t="str">
        <f t="shared" si="16"/>
        <v>教室：本校／コース：集団授業／コマ数：4コマ／授業料：10,000円／教材費：4,500円／消費税：1,450円／請求額：15,950円</v>
      </c>
      <c r="O73" t="str">
        <f t="shared" si="17"/>
        <v>70：青木湊</v>
      </c>
    </row>
    <row r="74" spans="1:15" hidden="1" outlineLevel="1" x14ac:dyDescent="0.2">
      <c r="A74" s="5">
        <f t="shared" si="12"/>
        <v>71</v>
      </c>
      <c r="B74" t="s">
        <v>206</v>
      </c>
      <c r="C74" s="5" t="s">
        <v>207</v>
      </c>
      <c r="D74" s="5" t="s">
        <v>61</v>
      </c>
      <c r="E74" s="5" t="s">
        <v>44</v>
      </c>
      <c r="F74" s="6">
        <f>IFERROR(INDEX(TankaData[1コマ単価],MATCH(E74,TankaData[コース],0)),0)</f>
        <v>2100</v>
      </c>
      <c r="G74" s="7">
        <v>1</v>
      </c>
      <c r="H74" s="8">
        <f t="shared" si="13"/>
        <v>4</v>
      </c>
      <c r="I74" s="6">
        <f>IFERROR(INDEX(TankaData[教材費(標準)],MATCH(E74,TankaData[コース],0)),0)</f>
        <v>3000</v>
      </c>
      <c r="J74" s="6">
        <f t="shared" si="14"/>
        <v>8400</v>
      </c>
      <c r="K74" s="6">
        <f t="shared" si="15"/>
        <v>12540</v>
      </c>
      <c r="L74" t="s">
        <v>208</v>
      </c>
      <c r="M74" s="9" t="s">
        <v>59</v>
      </c>
      <c r="N74" s="10" t="str">
        <f t="shared" si="16"/>
        <v>教室：東校／コース：映像授業／コマ数：4コマ／授業料：8,400円／教材費：3,000円／消費税：1,140円／請求額：12,540円</v>
      </c>
      <c r="O74" t="str">
        <f t="shared" si="17"/>
        <v>71：鈴木琴音</v>
      </c>
    </row>
    <row r="75" spans="1:15" hidden="1" outlineLevel="1" x14ac:dyDescent="0.2">
      <c r="A75" s="5">
        <f t="shared" si="12"/>
        <v>72</v>
      </c>
      <c r="B75" t="s">
        <v>209</v>
      </c>
      <c r="C75" s="5" t="s">
        <v>207</v>
      </c>
      <c r="D75" s="5" t="s">
        <v>61</v>
      </c>
      <c r="E75" s="5" t="s">
        <v>43</v>
      </c>
      <c r="F75" s="6">
        <f>IFERROR(INDEX(TankaData[1コマ単価],MATCH(E75,TankaData[コース],0)),0)</f>
        <v>2500</v>
      </c>
      <c r="G75" s="7">
        <v>4</v>
      </c>
      <c r="H75" s="8">
        <f t="shared" si="13"/>
        <v>16</v>
      </c>
      <c r="I75" s="6">
        <f>IFERROR(INDEX(TankaData[教材費(標準)],MATCH(E75,TankaData[コース],0)),0)</f>
        <v>4500</v>
      </c>
      <c r="J75" s="6">
        <f t="shared" si="14"/>
        <v>40000</v>
      </c>
      <c r="K75" s="6">
        <f t="shared" si="15"/>
        <v>48950</v>
      </c>
      <c r="L75" t="s">
        <v>210</v>
      </c>
      <c r="M75" s="9" t="s">
        <v>59</v>
      </c>
      <c r="N75" s="10" t="str">
        <f t="shared" si="16"/>
        <v>教室：東校／コース：集団授業／コマ数：16コマ／授業料：40,000円／教材費：4,500円／消費税：4,450円／請求額：48,950円</v>
      </c>
      <c r="O75" t="str">
        <f t="shared" si="17"/>
        <v>72：岡本彩花</v>
      </c>
    </row>
    <row r="76" spans="1:15" hidden="1" outlineLevel="1" x14ac:dyDescent="0.2">
      <c r="A76" s="5">
        <f t="shared" si="12"/>
        <v>73</v>
      </c>
      <c r="B76" t="s">
        <v>211</v>
      </c>
      <c r="C76" s="5" t="s">
        <v>207</v>
      </c>
      <c r="D76" s="5" t="s">
        <v>114</v>
      </c>
      <c r="E76" s="5" t="s">
        <v>44</v>
      </c>
      <c r="F76" s="6">
        <f>IFERROR(INDEX(TankaData[1コマ単価],MATCH(E76,TankaData[コース],0)),0)</f>
        <v>2100</v>
      </c>
      <c r="G76" s="7">
        <v>2</v>
      </c>
      <c r="H76" s="8">
        <f t="shared" si="13"/>
        <v>8</v>
      </c>
      <c r="I76" s="6">
        <f>IFERROR(INDEX(TankaData[教材費(標準)],MATCH(E76,TankaData[コース],0)),0)</f>
        <v>3000</v>
      </c>
      <c r="J76" s="6">
        <f t="shared" si="14"/>
        <v>16800</v>
      </c>
      <c r="K76" s="6">
        <f t="shared" si="15"/>
        <v>21780</v>
      </c>
      <c r="L76" t="s">
        <v>212</v>
      </c>
      <c r="M76" s="9" t="s">
        <v>59</v>
      </c>
      <c r="N76" s="10" t="str">
        <f t="shared" si="16"/>
        <v>教室：東校／コース：映像授業／コマ数：8コマ／授業料：16,800円／教材費：3,000円／消費税：1,980円／請求額：21,780円</v>
      </c>
      <c r="O76" t="str">
        <f t="shared" si="17"/>
        <v>73：井上蓮</v>
      </c>
    </row>
    <row r="77" spans="1:15" hidden="1" outlineLevel="1" x14ac:dyDescent="0.2">
      <c r="A77" s="5">
        <f t="shared" si="12"/>
        <v>74</v>
      </c>
      <c r="B77" t="s">
        <v>213</v>
      </c>
      <c r="C77" s="5" t="s">
        <v>207</v>
      </c>
      <c r="D77" s="5" t="s">
        <v>67</v>
      </c>
      <c r="E77" s="5" t="s">
        <v>43</v>
      </c>
      <c r="F77" s="6">
        <f>IFERROR(INDEX(TankaData[1コマ単価],MATCH(E77,TankaData[コース],0)),0)</f>
        <v>2500</v>
      </c>
      <c r="G77" s="7">
        <v>5</v>
      </c>
      <c r="H77" s="8">
        <f t="shared" si="13"/>
        <v>20</v>
      </c>
      <c r="I77" s="6">
        <f>IFERROR(INDEX(TankaData[教材費(標準)],MATCH(E77,TankaData[コース],0)),0)</f>
        <v>4500</v>
      </c>
      <c r="J77" s="6">
        <f t="shared" si="14"/>
        <v>50000</v>
      </c>
      <c r="K77" s="6">
        <f t="shared" si="15"/>
        <v>59950</v>
      </c>
      <c r="L77" t="s">
        <v>214</v>
      </c>
      <c r="M77" s="9" t="s">
        <v>59</v>
      </c>
      <c r="N77" s="10" t="str">
        <f t="shared" si="16"/>
        <v>教室：東校／コース：集団授業／コマ数：20コマ／授業料：50,000円／教材費：4,500円／消費税：5,450円／請求額：59,950円</v>
      </c>
      <c r="O77" t="str">
        <f t="shared" si="17"/>
        <v>74：加藤一輝</v>
      </c>
    </row>
    <row r="78" spans="1:15" hidden="1" outlineLevel="1" x14ac:dyDescent="0.2">
      <c r="A78" s="5">
        <f t="shared" si="12"/>
        <v>75</v>
      </c>
      <c r="B78" t="s">
        <v>215</v>
      </c>
      <c r="C78" s="5" t="s">
        <v>207</v>
      </c>
      <c r="D78" s="5" t="s">
        <v>67</v>
      </c>
      <c r="E78" s="5" t="s">
        <v>44</v>
      </c>
      <c r="F78" s="6">
        <f>IFERROR(INDEX(TankaData[1コマ単価],MATCH(E78,TankaData[コース],0)),0)</f>
        <v>2100</v>
      </c>
      <c r="G78" s="7">
        <v>4</v>
      </c>
      <c r="H78" s="8">
        <f t="shared" si="13"/>
        <v>16</v>
      </c>
      <c r="I78" s="6">
        <f>IFERROR(INDEX(TankaData[教材費(標準)],MATCH(E78,TankaData[コース],0)),0)</f>
        <v>3000</v>
      </c>
      <c r="J78" s="6">
        <f t="shared" si="14"/>
        <v>33600</v>
      </c>
      <c r="K78" s="6">
        <f t="shared" si="15"/>
        <v>40260</v>
      </c>
      <c r="L78" t="s">
        <v>216</v>
      </c>
      <c r="M78" s="9" t="s">
        <v>59</v>
      </c>
      <c r="N78" s="10" t="str">
        <f t="shared" si="16"/>
        <v>教室：東校／コース：映像授業／コマ数：16コマ／授業料：33,600円／教材費：3,000円／消費税：3,660円／請求額：40,260円</v>
      </c>
      <c r="O78" t="str">
        <f t="shared" si="17"/>
        <v>75：渡辺煌</v>
      </c>
    </row>
    <row r="79" spans="1:15" hidden="1" outlineLevel="1" x14ac:dyDescent="0.2">
      <c r="A79" s="5">
        <f t="shared" si="12"/>
        <v>76</v>
      </c>
      <c r="B79" t="s">
        <v>217</v>
      </c>
      <c r="C79" s="5" t="s">
        <v>207</v>
      </c>
      <c r="D79" s="5" t="s">
        <v>61</v>
      </c>
      <c r="E79" s="5" t="s">
        <v>43</v>
      </c>
      <c r="F79" s="6">
        <f>IFERROR(INDEX(TankaData[1コマ単価],MATCH(E79,TankaData[コース],0)),0)</f>
        <v>2500</v>
      </c>
      <c r="G79" s="7">
        <v>3</v>
      </c>
      <c r="H79" s="8">
        <f t="shared" si="13"/>
        <v>12</v>
      </c>
      <c r="I79" s="6">
        <f>IFERROR(INDEX(TankaData[教材費(標準)],MATCH(E79,TankaData[コース],0)),0)</f>
        <v>4500</v>
      </c>
      <c r="J79" s="6">
        <f t="shared" si="14"/>
        <v>30000</v>
      </c>
      <c r="K79" s="6">
        <f t="shared" si="15"/>
        <v>37950</v>
      </c>
      <c r="L79" t="s">
        <v>218</v>
      </c>
      <c r="M79" s="9" t="s">
        <v>59</v>
      </c>
      <c r="N79" s="10" t="str">
        <f t="shared" si="16"/>
        <v>教室：東校／コース：集団授業／コマ数：12コマ／授業料：30,000円／教材費：4,500円／消費税：3,450円／請求額：37,950円</v>
      </c>
      <c r="O79" t="str">
        <f t="shared" si="17"/>
        <v>76：小川美月</v>
      </c>
    </row>
    <row r="80" spans="1:15" hidden="1" outlineLevel="1" x14ac:dyDescent="0.2">
      <c r="A80" s="5">
        <f t="shared" si="12"/>
        <v>77</v>
      </c>
      <c r="B80" t="s">
        <v>219</v>
      </c>
      <c r="C80" s="5" t="s">
        <v>207</v>
      </c>
      <c r="D80" s="5" t="s">
        <v>81</v>
      </c>
      <c r="E80" s="5" t="s">
        <v>41</v>
      </c>
      <c r="F80" s="6">
        <f>IFERROR(INDEX(TankaData[1コマ単価],MATCH(E80,TankaData[コース],0)),0)</f>
        <v>4000</v>
      </c>
      <c r="G80" s="7">
        <v>3</v>
      </c>
      <c r="H80" s="8">
        <f t="shared" si="13"/>
        <v>12</v>
      </c>
      <c r="I80" s="6">
        <f>IFERROR(INDEX(TankaData[教材費(標準)],MATCH(E80,TankaData[コース],0)),0)</f>
        <v>7000</v>
      </c>
      <c r="J80" s="6">
        <f t="shared" si="14"/>
        <v>48000</v>
      </c>
      <c r="K80" s="6">
        <f t="shared" si="15"/>
        <v>60500</v>
      </c>
      <c r="L80" t="s">
        <v>220</v>
      </c>
      <c r="M80" s="9" t="s">
        <v>59</v>
      </c>
      <c r="N80" s="10" t="str">
        <f t="shared" si="16"/>
        <v>教室：東校／コース：個別指導S／コマ数：12コマ／授業料：48,000円／教材費：7,000円／消費税：5,500円／請求額：60,500円</v>
      </c>
      <c r="O80" t="str">
        <f t="shared" si="17"/>
        <v>77：岡本陽向</v>
      </c>
    </row>
    <row r="81" spans="1:15" hidden="1" outlineLevel="1" x14ac:dyDescent="0.2">
      <c r="A81" s="5">
        <f t="shared" si="12"/>
        <v>78</v>
      </c>
      <c r="B81" t="s">
        <v>221</v>
      </c>
      <c r="C81" s="5" t="s">
        <v>207</v>
      </c>
      <c r="D81" s="5" t="s">
        <v>86</v>
      </c>
      <c r="E81" s="5" t="s">
        <v>42</v>
      </c>
      <c r="F81" s="6">
        <f>IFERROR(INDEX(TankaData[1コマ単価],MATCH(E81,TankaData[コース],0)),0)</f>
        <v>3500</v>
      </c>
      <c r="G81" s="7">
        <v>4</v>
      </c>
      <c r="H81" s="8">
        <f t="shared" si="13"/>
        <v>16</v>
      </c>
      <c r="I81" s="6">
        <f>IFERROR(INDEX(TankaData[教材費(標準)],MATCH(E81,TankaData[コース],0)),0)</f>
        <v>6000</v>
      </c>
      <c r="J81" s="6">
        <f t="shared" si="14"/>
        <v>56000</v>
      </c>
      <c r="K81" s="6">
        <f t="shared" si="15"/>
        <v>68200</v>
      </c>
      <c r="L81" t="s">
        <v>222</v>
      </c>
      <c r="M81" s="9" t="s">
        <v>59</v>
      </c>
      <c r="N81" s="10" t="str">
        <f t="shared" si="16"/>
        <v>教室：東校／コース：個別指導／コマ数：16コマ／授業料：56,000円／教材費：6,000円／消費税：6,200円／請求額：68,200円</v>
      </c>
      <c r="O81" t="str">
        <f t="shared" si="17"/>
        <v>78：小川陽向</v>
      </c>
    </row>
    <row r="82" spans="1:15" hidden="1" outlineLevel="1" x14ac:dyDescent="0.2">
      <c r="A82" s="5">
        <f t="shared" si="12"/>
        <v>79</v>
      </c>
      <c r="B82" t="s">
        <v>223</v>
      </c>
      <c r="C82" s="5" t="s">
        <v>207</v>
      </c>
      <c r="D82" s="5" t="s">
        <v>61</v>
      </c>
      <c r="E82" s="5" t="s">
        <v>43</v>
      </c>
      <c r="F82" s="6">
        <f>IFERROR(INDEX(TankaData[1コマ単価],MATCH(E82,TankaData[コース],0)),0)</f>
        <v>2500</v>
      </c>
      <c r="G82" s="7">
        <v>1</v>
      </c>
      <c r="H82" s="8">
        <f t="shared" si="13"/>
        <v>4</v>
      </c>
      <c r="I82" s="6">
        <f>IFERROR(INDEX(TankaData[教材費(標準)],MATCH(E82,TankaData[コース],0)),0)</f>
        <v>4500</v>
      </c>
      <c r="J82" s="6">
        <f t="shared" si="14"/>
        <v>10000</v>
      </c>
      <c r="K82" s="6">
        <f t="shared" si="15"/>
        <v>15950</v>
      </c>
      <c r="L82" t="s">
        <v>224</v>
      </c>
      <c r="M82" s="9" t="s">
        <v>59</v>
      </c>
      <c r="N82" s="10" t="str">
        <f t="shared" si="16"/>
        <v>教室：東校／コース：集団授業／コマ数：4コマ／授業料：10,000円／教材費：4,500円／消費税：1,450円／請求額：15,950円</v>
      </c>
      <c r="O82" t="str">
        <f t="shared" si="17"/>
        <v>79：田中結衣</v>
      </c>
    </row>
    <row r="83" spans="1:15" hidden="1" outlineLevel="1" x14ac:dyDescent="0.2">
      <c r="A83" s="5">
        <f t="shared" si="12"/>
        <v>80</v>
      </c>
      <c r="B83" t="s">
        <v>225</v>
      </c>
      <c r="C83" s="5" t="s">
        <v>207</v>
      </c>
      <c r="D83" s="5" t="s">
        <v>86</v>
      </c>
      <c r="E83" s="5" t="s">
        <v>43</v>
      </c>
      <c r="F83" s="6">
        <f>IFERROR(INDEX(TankaData[1コマ単価],MATCH(E83,TankaData[コース],0)),0)</f>
        <v>2500</v>
      </c>
      <c r="G83" s="7">
        <v>2</v>
      </c>
      <c r="H83" s="8">
        <f t="shared" si="13"/>
        <v>8</v>
      </c>
      <c r="I83" s="6">
        <f>IFERROR(INDEX(TankaData[教材費(標準)],MATCH(E83,TankaData[コース],0)),0)</f>
        <v>4500</v>
      </c>
      <c r="J83" s="6">
        <f t="shared" si="14"/>
        <v>20000</v>
      </c>
      <c r="K83" s="6">
        <f t="shared" si="15"/>
        <v>26950</v>
      </c>
      <c r="L83" t="s">
        <v>226</v>
      </c>
      <c r="M83" s="9" t="s">
        <v>59</v>
      </c>
      <c r="N83" s="10" t="str">
        <f t="shared" si="16"/>
        <v>教室：東校／コース：集団授業／コマ数：8コマ／授業料：20,000円／教材費：4,500円／消費税：2,450円／請求額：26,950円</v>
      </c>
      <c r="O83" t="str">
        <f t="shared" si="17"/>
        <v>80：橋本煌</v>
      </c>
    </row>
    <row r="84" spans="1:15" hidden="1" outlineLevel="1" x14ac:dyDescent="0.2">
      <c r="A84" s="5">
        <f t="shared" si="12"/>
        <v>81</v>
      </c>
      <c r="B84" t="s">
        <v>227</v>
      </c>
      <c r="C84" s="5" t="s">
        <v>207</v>
      </c>
      <c r="D84" s="5" t="s">
        <v>86</v>
      </c>
      <c r="E84" s="5" t="s">
        <v>42</v>
      </c>
      <c r="F84" s="6">
        <f>IFERROR(INDEX(TankaData[1コマ単価],MATCH(E84,TankaData[コース],0)),0)</f>
        <v>3500</v>
      </c>
      <c r="G84" s="7">
        <v>3</v>
      </c>
      <c r="H84" s="8">
        <f t="shared" si="13"/>
        <v>12</v>
      </c>
      <c r="I84" s="6">
        <f>IFERROR(INDEX(TankaData[教材費(標準)],MATCH(E84,TankaData[コース],0)),0)</f>
        <v>6000</v>
      </c>
      <c r="J84" s="6">
        <f t="shared" si="14"/>
        <v>42000</v>
      </c>
      <c r="K84" s="6">
        <f t="shared" si="15"/>
        <v>52800</v>
      </c>
      <c r="L84" t="s">
        <v>228</v>
      </c>
      <c r="M84" s="9" t="s">
        <v>59</v>
      </c>
      <c r="N84" s="10" t="str">
        <f t="shared" si="16"/>
        <v>教室：東校／コース：個別指導／コマ数：12コマ／授業料：42,000円／教材費：6,000円／消費税：4,800円／請求額：52,800円</v>
      </c>
      <c r="O84" t="str">
        <f t="shared" si="17"/>
        <v>81：松本萌</v>
      </c>
    </row>
    <row r="85" spans="1:15" hidden="1" outlineLevel="1" x14ac:dyDescent="0.2">
      <c r="A85" s="5">
        <f t="shared" si="12"/>
        <v>82</v>
      </c>
      <c r="B85" t="s">
        <v>229</v>
      </c>
      <c r="C85" s="5" t="s">
        <v>207</v>
      </c>
      <c r="D85" s="5" t="s">
        <v>76</v>
      </c>
      <c r="E85" s="5" t="s">
        <v>43</v>
      </c>
      <c r="F85" s="6">
        <f>IFERROR(INDEX(TankaData[1コマ単価],MATCH(E85,TankaData[コース],0)),0)</f>
        <v>2500</v>
      </c>
      <c r="G85" s="7">
        <v>3</v>
      </c>
      <c r="H85" s="8">
        <f t="shared" si="13"/>
        <v>12</v>
      </c>
      <c r="I85" s="6">
        <f>IFERROR(INDEX(TankaData[教材費(標準)],MATCH(E85,TankaData[コース],0)),0)</f>
        <v>4500</v>
      </c>
      <c r="J85" s="6">
        <f t="shared" si="14"/>
        <v>30000</v>
      </c>
      <c r="K85" s="6">
        <f t="shared" si="15"/>
        <v>37950</v>
      </c>
      <c r="L85" t="s">
        <v>230</v>
      </c>
      <c r="M85" s="9" t="s">
        <v>59</v>
      </c>
      <c r="N85" s="10" t="str">
        <f t="shared" si="16"/>
        <v>教室：東校／コース：集団授業／コマ数：12コマ／授業料：30,000円／教材費：4,500円／消費税：3,450円／請求額：37,950円</v>
      </c>
      <c r="O85" t="str">
        <f t="shared" si="17"/>
        <v>82：小野結衣</v>
      </c>
    </row>
    <row r="86" spans="1:15" hidden="1" outlineLevel="1" x14ac:dyDescent="0.2">
      <c r="A86" s="5">
        <f t="shared" si="12"/>
        <v>83</v>
      </c>
      <c r="B86" t="s">
        <v>231</v>
      </c>
      <c r="C86" s="5" t="s">
        <v>207</v>
      </c>
      <c r="D86" s="5" t="s">
        <v>76</v>
      </c>
      <c r="E86" s="5" t="s">
        <v>41</v>
      </c>
      <c r="F86" s="6">
        <f>IFERROR(INDEX(TankaData[1コマ単価],MATCH(E86,TankaData[コース],0)),0)</f>
        <v>4000</v>
      </c>
      <c r="G86" s="7">
        <v>5</v>
      </c>
      <c r="H86" s="8">
        <f t="shared" si="13"/>
        <v>20</v>
      </c>
      <c r="I86" s="6">
        <f>IFERROR(INDEX(TankaData[教材費(標準)],MATCH(E86,TankaData[コース],0)),0)</f>
        <v>7000</v>
      </c>
      <c r="J86" s="6">
        <f t="shared" si="14"/>
        <v>80000</v>
      </c>
      <c r="K86" s="6">
        <f t="shared" si="15"/>
        <v>95700</v>
      </c>
      <c r="L86" t="s">
        <v>232</v>
      </c>
      <c r="M86" s="9" t="s">
        <v>59</v>
      </c>
      <c r="N86" s="10" t="str">
        <f t="shared" si="16"/>
        <v>教室：東校／コース：個別指導S／コマ数：20コマ／授業料：80,000円／教材費：7,000円／消費税：8,700円／請求額：95,700円</v>
      </c>
      <c r="O86" t="str">
        <f t="shared" si="17"/>
        <v>83：藤井陽向</v>
      </c>
    </row>
    <row r="87" spans="1:15" hidden="1" outlineLevel="1" x14ac:dyDescent="0.2">
      <c r="A87" s="5">
        <f t="shared" si="12"/>
        <v>84</v>
      </c>
      <c r="B87" t="s">
        <v>233</v>
      </c>
      <c r="C87" s="5" t="s">
        <v>207</v>
      </c>
      <c r="D87" s="5" t="s">
        <v>81</v>
      </c>
      <c r="E87" s="5" t="s">
        <v>41</v>
      </c>
      <c r="F87" s="6">
        <f>IFERROR(INDEX(TankaData[1コマ単価],MATCH(E87,TankaData[コース],0)),0)</f>
        <v>4000</v>
      </c>
      <c r="G87" s="7">
        <v>2</v>
      </c>
      <c r="H87" s="8">
        <f t="shared" si="13"/>
        <v>8</v>
      </c>
      <c r="I87" s="6">
        <f>IFERROR(INDEX(TankaData[教材費(標準)],MATCH(E87,TankaData[コース],0)),0)</f>
        <v>7000</v>
      </c>
      <c r="J87" s="6">
        <f t="shared" si="14"/>
        <v>32000</v>
      </c>
      <c r="K87" s="6">
        <f t="shared" si="15"/>
        <v>42900</v>
      </c>
      <c r="L87" t="s">
        <v>234</v>
      </c>
      <c r="M87" s="9" t="s">
        <v>59</v>
      </c>
      <c r="N87" s="10" t="str">
        <f t="shared" si="16"/>
        <v>教室：東校／コース：個別指導S／コマ数：8コマ／授業料：32,000円／教材費：7,000円／消費税：3,900円／請求額：42,900円</v>
      </c>
      <c r="O87" t="str">
        <f t="shared" si="17"/>
        <v>84：村上尊</v>
      </c>
    </row>
    <row r="88" spans="1:15" hidden="1" outlineLevel="1" x14ac:dyDescent="0.2">
      <c r="A88" s="5">
        <f t="shared" si="12"/>
        <v>85</v>
      </c>
      <c r="B88" t="s">
        <v>235</v>
      </c>
      <c r="C88" s="5" t="s">
        <v>207</v>
      </c>
      <c r="D88" s="5" t="s">
        <v>61</v>
      </c>
      <c r="E88" s="5" t="s">
        <v>44</v>
      </c>
      <c r="F88" s="6">
        <f>IFERROR(INDEX(TankaData[1コマ単価],MATCH(E88,TankaData[コース],0)),0)</f>
        <v>2100</v>
      </c>
      <c r="G88" s="7">
        <v>5</v>
      </c>
      <c r="H88" s="8">
        <f t="shared" si="13"/>
        <v>20</v>
      </c>
      <c r="I88" s="6">
        <f>IFERROR(INDEX(TankaData[教材費(標準)],MATCH(E88,TankaData[コース],0)),0)</f>
        <v>3000</v>
      </c>
      <c r="J88" s="6">
        <f t="shared" si="14"/>
        <v>42000</v>
      </c>
      <c r="K88" s="6">
        <f t="shared" si="15"/>
        <v>49500</v>
      </c>
      <c r="L88" t="s">
        <v>236</v>
      </c>
      <c r="M88" s="9" t="s">
        <v>59</v>
      </c>
      <c r="N88" s="10" t="str">
        <f t="shared" si="16"/>
        <v>教室：東校／コース：映像授業／コマ数：20コマ／授業料：42,000円／教材費：3,000円／消費税：4,500円／請求額：49,500円</v>
      </c>
      <c r="O88" t="str">
        <f t="shared" si="17"/>
        <v>85：山田花音</v>
      </c>
    </row>
    <row r="89" spans="1:15" hidden="1" outlineLevel="1" x14ac:dyDescent="0.2">
      <c r="A89" s="5">
        <f t="shared" si="12"/>
        <v>86</v>
      </c>
      <c r="B89" t="s">
        <v>237</v>
      </c>
      <c r="C89" s="5" t="s">
        <v>207</v>
      </c>
      <c r="D89" s="5" t="s">
        <v>81</v>
      </c>
      <c r="E89" s="5" t="s">
        <v>44</v>
      </c>
      <c r="F89" s="6">
        <f>IFERROR(INDEX(TankaData[1コマ単価],MATCH(E89,TankaData[コース],0)),0)</f>
        <v>2100</v>
      </c>
      <c r="G89" s="7">
        <v>4</v>
      </c>
      <c r="H89" s="8">
        <f t="shared" si="13"/>
        <v>16</v>
      </c>
      <c r="I89" s="6">
        <f>IFERROR(INDEX(TankaData[教材費(標準)],MATCH(E89,TankaData[コース],0)),0)</f>
        <v>3000</v>
      </c>
      <c r="J89" s="6">
        <f t="shared" si="14"/>
        <v>33600</v>
      </c>
      <c r="K89" s="6">
        <f t="shared" si="15"/>
        <v>40260</v>
      </c>
      <c r="L89" t="s">
        <v>238</v>
      </c>
      <c r="M89" s="9" t="s">
        <v>59</v>
      </c>
      <c r="N89" s="10" t="str">
        <f t="shared" si="16"/>
        <v>教室：東校／コース：映像授業／コマ数：16コマ／授業料：33,600円／教材費：3,000円／消費税：3,660円／請求額：40,260円</v>
      </c>
      <c r="O89" t="str">
        <f t="shared" si="17"/>
        <v>86：小川駿</v>
      </c>
    </row>
    <row r="90" spans="1:15" hidden="1" outlineLevel="1" x14ac:dyDescent="0.2">
      <c r="A90" s="5">
        <f t="shared" si="12"/>
        <v>87</v>
      </c>
      <c r="B90" t="s">
        <v>239</v>
      </c>
      <c r="C90" s="5" t="s">
        <v>207</v>
      </c>
      <c r="D90" s="5" t="s">
        <v>86</v>
      </c>
      <c r="E90" s="5" t="s">
        <v>41</v>
      </c>
      <c r="F90" s="6">
        <f>IFERROR(INDEX(TankaData[1コマ単価],MATCH(E90,TankaData[コース],0)),0)</f>
        <v>4000</v>
      </c>
      <c r="G90" s="7">
        <v>1</v>
      </c>
      <c r="H90" s="8">
        <f t="shared" si="13"/>
        <v>4</v>
      </c>
      <c r="I90" s="6">
        <f>IFERROR(INDEX(TankaData[教材費(標準)],MATCH(E90,TankaData[コース],0)),0)</f>
        <v>7000</v>
      </c>
      <c r="J90" s="6">
        <f t="shared" si="14"/>
        <v>16000</v>
      </c>
      <c r="K90" s="6">
        <f t="shared" si="15"/>
        <v>25300</v>
      </c>
      <c r="L90" t="s">
        <v>240</v>
      </c>
      <c r="M90" s="9" t="s">
        <v>59</v>
      </c>
      <c r="N90" s="10" t="str">
        <f t="shared" si="16"/>
        <v>教室：東校／コース：個別指導S／コマ数：4コマ／授業料：16,000円／教材費：7,000円／消費税：2,300円／請求額：25,300円</v>
      </c>
      <c r="O90" t="str">
        <f t="shared" si="17"/>
        <v>87：中野健太</v>
      </c>
    </row>
    <row r="91" spans="1:15" hidden="1" outlineLevel="1" x14ac:dyDescent="0.2">
      <c r="A91" s="5">
        <f t="shared" si="12"/>
        <v>88</v>
      </c>
      <c r="B91" t="s">
        <v>241</v>
      </c>
      <c r="C91" s="5" t="s">
        <v>207</v>
      </c>
      <c r="D91" s="5" t="s">
        <v>76</v>
      </c>
      <c r="E91" s="5" t="s">
        <v>42</v>
      </c>
      <c r="F91" s="6">
        <f>IFERROR(INDEX(TankaData[1コマ単価],MATCH(E91,TankaData[コース],0)),0)</f>
        <v>3500</v>
      </c>
      <c r="G91" s="7">
        <v>4</v>
      </c>
      <c r="H91" s="8">
        <f t="shared" si="13"/>
        <v>16</v>
      </c>
      <c r="I91" s="6">
        <f>IFERROR(INDEX(TankaData[教材費(標準)],MATCH(E91,TankaData[コース],0)),0)</f>
        <v>6000</v>
      </c>
      <c r="J91" s="6">
        <f t="shared" si="14"/>
        <v>56000</v>
      </c>
      <c r="K91" s="6">
        <f t="shared" si="15"/>
        <v>68200</v>
      </c>
      <c r="L91" t="s">
        <v>242</v>
      </c>
      <c r="M91" s="9" t="s">
        <v>59</v>
      </c>
      <c r="N91" s="10" t="str">
        <f t="shared" si="16"/>
        <v>教室：東校／コース：個別指導／コマ数：16コマ／授業料：56,000円／教材費：6,000円／消費税：6,200円／請求額：68,200円</v>
      </c>
      <c r="O91" t="str">
        <f t="shared" si="17"/>
        <v>88：田中結翔</v>
      </c>
    </row>
    <row r="92" spans="1:15" hidden="1" outlineLevel="1" x14ac:dyDescent="0.2">
      <c r="A92" s="5">
        <f t="shared" si="12"/>
        <v>89</v>
      </c>
      <c r="B92" t="s">
        <v>243</v>
      </c>
      <c r="C92" s="5" t="s">
        <v>207</v>
      </c>
      <c r="D92" s="5" t="s">
        <v>81</v>
      </c>
      <c r="E92" s="5" t="s">
        <v>43</v>
      </c>
      <c r="F92" s="6">
        <f>IFERROR(INDEX(TankaData[1コマ単価],MATCH(E92,TankaData[コース],0)),0)</f>
        <v>2500</v>
      </c>
      <c r="G92" s="7">
        <v>5</v>
      </c>
      <c r="H92" s="8">
        <f t="shared" si="13"/>
        <v>20</v>
      </c>
      <c r="I92" s="6">
        <f>IFERROR(INDEX(TankaData[教材費(標準)],MATCH(E92,TankaData[コース],0)),0)</f>
        <v>4500</v>
      </c>
      <c r="J92" s="6">
        <f t="shared" si="14"/>
        <v>50000</v>
      </c>
      <c r="K92" s="6">
        <f t="shared" si="15"/>
        <v>59950</v>
      </c>
      <c r="L92" t="s">
        <v>244</v>
      </c>
      <c r="M92" s="9" t="s">
        <v>59</v>
      </c>
      <c r="N92" s="10" t="str">
        <f t="shared" si="16"/>
        <v>教室：東校／コース：集団授業／コマ数：20コマ／授業料：50,000円／教材費：4,500円／消費税：5,450円／請求額：59,950円</v>
      </c>
      <c r="O92" t="str">
        <f t="shared" si="17"/>
        <v>89：伊藤翼</v>
      </c>
    </row>
    <row r="93" spans="1:15" hidden="1" outlineLevel="1" x14ac:dyDescent="0.2">
      <c r="A93" s="5">
        <f t="shared" si="12"/>
        <v>90</v>
      </c>
      <c r="B93" t="s">
        <v>245</v>
      </c>
      <c r="C93" s="5" t="s">
        <v>207</v>
      </c>
      <c r="D93" s="5" t="s">
        <v>64</v>
      </c>
      <c r="E93" s="5" t="s">
        <v>44</v>
      </c>
      <c r="F93" s="6">
        <f>IFERROR(INDEX(TankaData[1コマ単価],MATCH(E93,TankaData[コース],0)),0)</f>
        <v>2100</v>
      </c>
      <c r="G93" s="7">
        <v>5</v>
      </c>
      <c r="H93" s="8">
        <f t="shared" si="13"/>
        <v>20</v>
      </c>
      <c r="I93" s="6">
        <f>IFERROR(INDEX(TankaData[教材費(標準)],MATCH(E93,TankaData[コース],0)),0)</f>
        <v>3000</v>
      </c>
      <c r="J93" s="6">
        <f t="shared" si="14"/>
        <v>42000</v>
      </c>
      <c r="K93" s="6">
        <f t="shared" si="15"/>
        <v>49500</v>
      </c>
      <c r="L93" t="s">
        <v>246</v>
      </c>
      <c r="M93" s="9" t="s">
        <v>59</v>
      </c>
      <c r="N93" s="10" t="str">
        <f t="shared" si="16"/>
        <v>教室：東校／コース：映像授業／コマ数：20コマ／授業料：42,000円／教材費：3,000円／消費税：4,500円／請求額：49,500円</v>
      </c>
      <c r="O93" t="str">
        <f t="shared" si="17"/>
        <v>90：後藤颯太</v>
      </c>
    </row>
    <row r="94" spans="1:15" hidden="1" outlineLevel="1" x14ac:dyDescent="0.2">
      <c r="A94" s="5">
        <f t="shared" si="12"/>
        <v>91</v>
      </c>
      <c r="B94" t="s">
        <v>247</v>
      </c>
      <c r="C94" s="5" t="s">
        <v>207</v>
      </c>
      <c r="D94" s="5" t="s">
        <v>67</v>
      </c>
      <c r="E94" s="5" t="s">
        <v>43</v>
      </c>
      <c r="F94" s="6">
        <f>IFERROR(INDEX(TankaData[1コマ単価],MATCH(E94,TankaData[コース],0)),0)</f>
        <v>2500</v>
      </c>
      <c r="G94" s="7">
        <v>4</v>
      </c>
      <c r="H94" s="8">
        <f t="shared" si="13"/>
        <v>16</v>
      </c>
      <c r="I94" s="6">
        <f>IFERROR(INDEX(TankaData[教材費(標準)],MATCH(E94,TankaData[コース],0)),0)</f>
        <v>4500</v>
      </c>
      <c r="J94" s="6">
        <f t="shared" si="14"/>
        <v>40000</v>
      </c>
      <c r="K94" s="6">
        <f t="shared" si="15"/>
        <v>48950</v>
      </c>
      <c r="L94" t="s">
        <v>248</v>
      </c>
      <c r="M94" s="9" t="s">
        <v>59</v>
      </c>
      <c r="N94" s="10" t="str">
        <f t="shared" si="16"/>
        <v>教室：東校／コース：集団授業／コマ数：16コマ／授業料：40,000円／教材費：4,500円／消費税：4,450円／請求額：48,950円</v>
      </c>
      <c r="O94" t="str">
        <f t="shared" si="17"/>
        <v>91：井上大和</v>
      </c>
    </row>
    <row r="95" spans="1:15" hidden="1" outlineLevel="1" x14ac:dyDescent="0.2">
      <c r="A95" s="5">
        <f t="shared" si="12"/>
        <v>92</v>
      </c>
      <c r="B95" t="s">
        <v>249</v>
      </c>
      <c r="C95" s="5" t="s">
        <v>207</v>
      </c>
      <c r="D95" s="5" t="s">
        <v>67</v>
      </c>
      <c r="E95" s="5" t="s">
        <v>43</v>
      </c>
      <c r="F95" s="6">
        <f>IFERROR(INDEX(TankaData[1コマ単価],MATCH(E95,TankaData[コース],0)),0)</f>
        <v>2500</v>
      </c>
      <c r="G95" s="7">
        <v>3</v>
      </c>
      <c r="H95" s="8">
        <f t="shared" si="13"/>
        <v>12</v>
      </c>
      <c r="I95" s="6">
        <f>IFERROR(INDEX(TankaData[教材費(標準)],MATCH(E95,TankaData[コース],0)),0)</f>
        <v>4500</v>
      </c>
      <c r="J95" s="6">
        <f t="shared" si="14"/>
        <v>30000</v>
      </c>
      <c r="K95" s="6">
        <f t="shared" si="15"/>
        <v>37950</v>
      </c>
      <c r="L95" t="s">
        <v>250</v>
      </c>
      <c r="M95" s="9" t="s">
        <v>59</v>
      </c>
      <c r="N95" s="10" t="str">
        <f t="shared" si="16"/>
        <v>教室：東校／コース：集団授業／コマ数：12コマ／授業料：30,000円／教材費：4,500円／消費税：3,450円／請求額：37,950円</v>
      </c>
      <c r="O95" t="str">
        <f t="shared" si="17"/>
        <v>92：井上詩織</v>
      </c>
    </row>
    <row r="96" spans="1:15" hidden="1" outlineLevel="1" x14ac:dyDescent="0.2">
      <c r="A96" s="5">
        <f t="shared" si="12"/>
        <v>93</v>
      </c>
      <c r="B96" t="s">
        <v>251</v>
      </c>
      <c r="C96" s="5" t="s">
        <v>207</v>
      </c>
      <c r="D96" s="5" t="s">
        <v>86</v>
      </c>
      <c r="E96" s="5" t="s">
        <v>43</v>
      </c>
      <c r="F96" s="6">
        <f>IFERROR(INDEX(TankaData[1コマ単価],MATCH(E96,TankaData[コース],0)),0)</f>
        <v>2500</v>
      </c>
      <c r="G96" s="7">
        <v>3</v>
      </c>
      <c r="H96" s="8">
        <f t="shared" si="13"/>
        <v>12</v>
      </c>
      <c r="I96" s="6">
        <f>IFERROR(INDEX(TankaData[教材費(標準)],MATCH(E96,TankaData[コース],0)),0)</f>
        <v>4500</v>
      </c>
      <c r="J96" s="6">
        <f t="shared" si="14"/>
        <v>30000</v>
      </c>
      <c r="K96" s="6">
        <f t="shared" si="15"/>
        <v>37950</v>
      </c>
      <c r="L96" t="s">
        <v>252</v>
      </c>
      <c r="M96" s="9" t="s">
        <v>59</v>
      </c>
      <c r="N96" s="10" t="str">
        <f t="shared" si="16"/>
        <v>教室：東校／コース：集団授業／コマ数：12コマ／授業料：30,000円／教材費：4,500円／消費税：3,450円／請求額：37,950円</v>
      </c>
      <c r="O96" t="str">
        <f t="shared" si="17"/>
        <v>93：中島琴音</v>
      </c>
    </row>
    <row r="97" spans="1:15" hidden="1" outlineLevel="1" x14ac:dyDescent="0.2">
      <c r="A97" s="5">
        <f t="shared" si="12"/>
        <v>94</v>
      </c>
      <c r="B97" t="s">
        <v>253</v>
      </c>
      <c r="C97" s="5" t="s">
        <v>207</v>
      </c>
      <c r="D97" s="5" t="s">
        <v>76</v>
      </c>
      <c r="E97" s="5" t="s">
        <v>42</v>
      </c>
      <c r="F97" s="6">
        <f>IFERROR(INDEX(TankaData[1コマ単価],MATCH(E97,TankaData[コース],0)),0)</f>
        <v>3500</v>
      </c>
      <c r="G97" s="7">
        <v>1</v>
      </c>
      <c r="H97" s="8">
        <f t="shared" si="13"/>
        <v>4</v>
      </c>
      <c r="I97" s="6">
        <f>IFERROR(INDEX(TankaData[教材費(標準)],MATCH(E97,TankaData[コース],0)),0)</f>
        <v>6000</v>
      </c>
      <c r="J97" s="6">
        <f t="shared" si="14"/>
        <v>14000</v>
      </c>
      <c r="K97" s="6">
        <f t="shared" si="15"/>
        <v>22000</v>
      </c>
      <c r="L97" t="s">
        <v>254</v>
      </c>
      <c r="M97" s="9" t="s">
        <v>59</v>
      </c>
      <c r="N97" s="10" t="str">
        <f t="shared" si="16"/>
        <v>教室：東校／コース：個別指導／コマ数：4コマ／授業料：14,000円／教材費：6,000円／消費税：2,000円／請求額：22,000円</v>
      </c>
      <c r="O97" t="str">
        <f t="shared" si="17"/>
        <v>94：山本拓也</v>
      </c>
    </row>
    <row r="98" spans="1:15" hidden="1" outlineLevel="1" x14ac:dyDescent="0.2">
      <c r="A98" s="5">
        <f t="shared" si="12"/>
        <v>95</v>
      </c>
      <c r="B98" t="s">
        <v>255</v>
      </c>
      <c r="C98" s="5" t="s">
        <v>207</v>
      </c>
      <c r="D98" s="5" t="s">
        <v>81</v>
      </c>
      <c r="E98" s="5" t="s">
        <v>43</v>
      </c>
      <c r="F98" s="6">
        <f>IFERROR(INDEX(TankaData[1コマ単価],MATCH(E98,TankaData[コース],0)),0)</f>
        <v>2500</v>
      </c>
      <c r="G98" s="7">
        <v>1</v>
      </c>
      <c r="H98" s="8">
        <f t="shared" si="13"/>
        <v>4</v>
      </c>
      <c r="I98" s="6">
        <f>IFERROR(INDEX(TankaData[教材費(標準)],MATCH(E98,TankaData[コース],0)),0)</f>
        <v>4500</v>
      </c>
      <c r="J98" s="6">
        <f t="shared" si="14"/>
        <v>10000</v>
      </c>
      <c r="K98" s="6">
        <f t="shared" si="15"/>
        <v>15950</v>
      </c>
      <c r="L98" t="s">
        <v>256</v>
      </c>
      <c r="M98" s="9" t="s">
        <v>59</v>
      </c>
      <c r="N98" s="10" t="str">
        <f t="shared" si="16"/>
        <v>教室：東校／コース：集団授業／コマ数：4コマ／授業料：10,000円／教材費：4,500円／消費税：1,450円／請求額：15,950円</v>
      </c>
      <c r="O98" t="str">
        <f t="shared" si="17"/>
        <v>95：池田颯</v>
      </c>
    </row>
    <row r="99" spans="1:15" hidden="1" outlineLevel="1" x14ac:dyDescent="0.2">
      <c r="A99" s="5">
        <f t="shared" si="12"/>
        <v>96</v>
      </c>
      <c r="B99" t="s">
        <v>257</v>
      </c>
      <c r="C99" s="5" t="s">
        <v>207</v>
      </c>
      <c r="D99" s="5" t="s">
        <v>67</v>
      </c>
      <c r="E99" s="5" t="s">
        <v>42</v>
      </c>
      <c r="F99" s="6">
        <f>IFERROR(INDEX(TankaData[1コマ単価],MATCH(E99,TankaData[コース],0)),0)</f>
        <v>3500</v>
      </c>
      <c r="G99" s="7">
        <v>2</v>
      </c>
      <c r="H99" s="8">
        <f t="shared" si="13"/>
        <v>8</v>
      </c>
      <c r="I99" s="6">
        <f>IFERROR(INDEX(TankaData[教材費(標準)],MATCH(E99,TankaData[コース],0)),0)</f>
        <v>6000</v>
      </c>
      <c r="J99" s="6">
        <f t="shared" si="14"/>
        <v>28000</v>
      </c>
      <c r="K99" s="6">
        <f t="shared" si="15"/>
        <v>37400</v>
      </c>
      <c r="L99" t="s">
        <v>258</v>
      </c>
      <c r="M99" s="9" t="s">
        <v>59</v>
      </c>
      <c r="N99" s="10" t="str">
        <f t="shared" si="16"/>
        <v>教室：東校／コース：個別指導／コマ数：8コマ／授業料：28,000円／教材費：6,000円／消費税：3,400円／請求額：37,400円</v>
      </c>
      <c r="O99" t="str">
        <f t="shared" si="17"/>
        <v>96：斎藤彩花</v>
      </c>
    </row>
    <row r="100" spans="1:15" hidden="1" outlineLevel="1" x14ac:dyDescent="0.2">
      <c r="A100" s="5">
        <f t="shared" ref="A100:A131" si="18">ROW()-3</f>
        <v>97</v>
      </c>
      <c r="B100" t="s">
        <v>259</v>
      </c>
      <c r="C100" s="5" t="s">
        <v>207</v>
      </c>
      <c r="D100" s="5" t="s">
        <v>81</v>
      </c>
      <c r="E100" s="5" t="s">
        <v>44</v>
      </c>
      <c r="F100" s="6">
        <f>IFERROR(INDEX(TankaData[1コマ単価],MATCH(E100,TankaData[コース],0)),0)</f>
        <v>2100</v>
      </c>
      <c r="G100" s="7">
        <v>3</v>
      </c>
      <c r="H100" s="8">
        <f t="shared" ref="H100:H131" si="19">G100*4</f>
        <v>12</v>
      </c>
      <c r="I100" s="6">
        <f>IFERROR(INDEX(TankaData[教材費(標準)],MATCH(E100,TankaData[コース],0)),0)</f>
        <v>3000</v>
      </c>
      <c r="J100" s="6">
        <f t="shared" ref="J100:J131" si="20">F100*H100</f>
        <v>25200</v>
      </c>
      <c r="K100" s="6">
        <f t="shared" ref="K100:K131" si="21">J100+I100+ROUND((J100+I100)*0.1,0)</f>
        <v>31020</v>
      </c>
      <c r="L100" t="s">
        <v>260</v>
      </c>
      <c r="M100" s="9" t="s">
        <v>59</v>
      </c>
      <c r="N100" s="10" t="str">
        <f t="shared" ref="N100:N131" si="22">"教室："&amp;C100&amp;"／コース："&amp;E100&amp;"／コマ数："&amp;H100&amp;"コマ／授業料："&amp;TEXT(J100,"#,##0")&amp;"円／教材費："&amp;TEXT(I100,"#,##0")&amp;"円／消費税："&amp;TEXT(ROUND((J100+I100)*0.1,0),"#,##0")&amp;"円／請求額："&amp;TEXT(K100,"#,##0")&amp;"円"</f>
        <v>教室：東校／コース：映像授業／コマ数：12コマ／授業料：25,200円／教材費：3,000円／消費税：2,820円／請求額：31,020円</v>
      </c>
      <c r="O100" t="str">
        <f t="shared" ref="O100:O131" si="23">A100&amp;"："&amp;B100</f>
        <v>97：山本愛</v>
      </c>
    </row>
    <row r="101" spans="1:15" hidden="1" outlineLevel="1" x14ac:dyDescent="0.2">
      <c r="A101" s="5">
        <f t="shared" si="18"/>
        <v>98</v>
      </c>
      <c r="B101" t="s">
        <v>261</v>
      </c>
      <c r="C101" s="5" t="s">
        <v>207</v>
      </c>
      <c r="D101" s="5" t="s">
        <v>67</v>
      </c>
      <c r="E101" s="5" t="s">
        <v>43</v>
      </c>
      <c r="F101" s="6">
        <f>IFERROR(INDEX(TankaData[1コマ単価],MATCH(E101,TankaData[コース],0)),0)</f>
        <v>2500</v>
      </c>
      <c r="G101" s="7">
        <v>1</v>
      </c>
      <c r="H101" s="8">
        <f t="shared" si="19"/>
        <v>4</v>
      </c>
      <c r="I101" s="6">
        <f>IFERROR(INDEX(TankaData[教材費(標準)],MATCH(E101,TankaData[コース],0)),0)</f>
        <v>4500</v>
      </c>
      <c r="J101" s="6">
        <f t="shared" si="20"/>
        <v>10000</v>
      </c>
      <c r="K101" s="6">
        <f t="shared" si="21"/>
        <v>15950</v>
      </c>
      <c r="L101" t="s">
        <v>262</v>
      </c>
      <c r="M101" s="9" t="s">
        <v>59</v>
      </c>
      <c r="N101" s="10" t="str">
        <f t="shared" si="22"/>
        <v>教室：東校／コース：集団授業／コマ数：4コマ／授業料：10,000円／教材費：4,500円／消費税：1,450円／請求額：15,950円</v>
      </c>
      <c r="O101" t="str">
        <f t="shared" si="23"/>
        <v>98：小野美咲</v>
      </c>
    </row>
    <row r="102" spans="1:15" hidden="1" outlineLevel="1" x14ac:dyDescent="0.2">
      <c r="A102" s="5">
        <f t="shared" si="18"/>
        <v>99</v>
      </c>
      <c r="B102" t="s">
        <v>263</v>
      </c>
      <c r="C102" s="5" t="s">
        <v>207</v>
      </c>
      <c r="D102" s="5" t="s">
        <v>81</v>
      </c>
      <c r="E102" s="5" t="s">
        <v>43</v>
      </c>
      <c r="F102" s="6">
        <f>IFERROR(INDEX(TankaData[1コマ単価],MATCH(E102,TankaData[コース],0)),0)</f>
        <v>2500</v>
      </c>
      <c r="G102" s="7">
        <v>2</v>
      </c>
      <c r="H102" s="8">
        <f t="shared" si="19"/>
        <v>8</v>
      </c>
      <c r="I102" s="6">
        <f>IFERROR(INDEX(TankaData[教材費(標準)],MATCH(E102,TankaData[コース],0)),0)</f>
        <v>4500</v>
      </c>
      <c r="J102" s="6">
        <f t="shared" si="20"/>
        <v>20000</v>
      </c>
      <c r="K102" s="6">
        <f t="shared" si="21"/>
        <v>26950</v>
      </c>
      <c r="L102" t="s">
        <v>264</v>
      </c>
      <c r="M102" s="9" t="s">
        <v>59</v>
      </c>
      <c r="N102" s="10" t="str">
        <f t="shared" si="22"/>
        <v>教室：東校／コース：集団授業／コマ数：8コマ／授業料：20,000円／教材費：4,500円／消費税：2,450円／請求額：26,950円</v>
      </c>
      <c r="O102" t="str">
        <f t="shared" si="23"/>
        <v>99：石川美咲</v>
      </c>
    </row>
    <row r="103" spans="1:15" hidden="1" outlineLevel="1" x14ac:dyDescent="0.2">
      <c r="A103" s="5">
        <f t="shared" si="18"/>
        <v>100</v>
      </c>
      <c r="B103" t="s">
        <v>265</v>
      </c>
      <c r="C103" s="5" t="s">
        <v>207</v>
      </c>
      <c r="D103" s="5" t="s">
        <v>64</v>
      </c>
      <c r="E103" s="5" t="s">
        <v>42</v>
      </c>
      <c r="F103" s="6">
        <f>IFERROR(INDEX(TankaData[1コマ単価],MATCH(E103,TankaData[コース],0)),0)</f>
        <v>3500</v>
      </c>
      <c r="G103" s="7">
        <v>3</v>
      </c>
      <c r="H103" s="8">
        <f t="shared" si="19"/>
        <v>12</v>
      </c>
      <c r="I103" s="6">
        <f>IFERROR(INDEX(TankaData[教材費(標準)],MATCH(E103,TankaData[コース],0)),0)</f>
        <v>6000</v>
      </c>
      <c r="J103" s="6">
        <f t="shared" si="20"/>
        <v>42000</v>
      </c>
      <c r="K103" s="6">
        <f t="shared" si="21"/>
        <v>52800</v>
      </c>
      <c r="L103" t="s">
        <v>266</v>
      </c>
      <c r="M103" s="9" t="s">
        <v>59</v>
      </c>
      <c r="N103" s="10" t="str">
        <f t="shared" si="22"/>
        <v>教室：東校／コース：個別指導／コマ数：12コマ／授業料：42,000円／教材費：6,000円／消費税：4,800円／請求額：52,800円</v>
      </c>
      <c r="O103" t="str">
        <f t="shared" si="23"/>
        <v>100：阿部拓也</v>
      </c>
    </row>
    <row r="104" spans="1:15" hidden="1" outlineLevel="1" x14ac:dyDescent="0.2">
      <c r="A104" s="5">
        <f t="shared" si="18"/>
        <v>101</v>
      </c>
      <c r="B104" t="s">
        <v>267</v>
      </c>
      <c r="C104" s="5" t="s">
        <v>207</v>
      </c>
      <c r="D104" s="5" t="s">
        <v>57</v>
      </c>
      <c r="E104" s="5" t="s">
        <v>42</v>
      </c>
      <c r="F104" s="6">
        <f>IFERROR(INDEX(TankaData[1コマ単価],MATCH(E104,TankaData[コース],0)),0)</f>
        <v>3500</v>
      </c>
      <c r="G104" s="7">
        <v>3</v>
      </c>
      <c r="H104" s="8">
        <f t="shared" si="19"/>
        <v>12</v>
      </c>
      <c r="I104" s="6">
        <f>IFERROR(INDEX(TankaData[教材費(標準)],MATCH(E104,TankaData[コース],0)),0)</f>
        <v>6000</v>
      </c>
      <c r="J104" s="6">
        <f t="shared" si="20"/>
        <v>42000</v>
      </c>
      <c r="K104" s="6">
        <f t="shared" si="21"/>
        <v>52800</v>
      </c>
      <c r="L104" t="s">
        <v>268</v>
      </c>
      <c r="M104" s="9" t="s">
        <v>59</v>
      </c>
      <c r="N104" s="10" t="str">
        <f t="shared" si="22"/>
        <v>教室：東校／コース：個別指導／コマ数：12コマ／授業料：42,000円／教材費：6,000円／消費税：4,800円／請求額：52,800円</v>
      </c>
      <c r="O104" t="str">
        <f t="shared" si="23"/>
        <v>101：西村彩花</v>
      </c>
    </row>
    <row r="105" spans="1:15" hidden="1" outlineLevel="1" x14ac:dyDescent="0.2">
      <c r="A105" s="5">
        <f t="shared" si="18"/>
        <v>102</v>
      </c>
      <c r="B105" t="s">
        <v>269</v>
      </c>
      <c r="C105" s="5" t="s">
        <v>207</v>
      </c>
      <c r="D105" s="5" t="s">
        <v>57</v>
      </c>
      <c r="E105" s="5" t="s">
        <v>41</v>
      </c>
      <c r="F105" s="6">
        <f>IFERROR(INDEX(TankaData[1コマ単価],MATCH(E105,TankaData[コース],0)),0)</f>
        <v>4000</v>
      </c>
      <c r="G105" s="7">
        <v>5</v>
      </c>
      <c r="H105" s="8">
        <f t="shared" si="19"/>
        <v>20</v>
      </c>
      <c r="I105" s="6">
        <f>IFERROR(INDEX(TankaData[教材費(標準)],MATCH(E105,TankaData[コース],0)),0)</f>
        <v>7000</v>
      </c>
      <c r="J105" s="6">
        <f t="shared" si="20"/>
        <v>80000</v>
      </c>
      <c r="K105" s="6">
        <f t="shared" si="21"/>
        <v>95700</v>
      </c>
      <c r="L105" t="s">
        <v>270</v>
      </c>
      <c r="M105" s="9" t="s">
        <v>59</v>
      </c>
      <c r="N105" s="10" t="str">
        <f t="shared" si="22"/>
        <v>教室：東校／コース：個別指導S／コマ数：20コマ／授業料：80,000円／教材費：7,000円／消費税：8,700円／請求額：95,700円</v>
      </c>
      <c r="O105" t="str">
        <f t="shared" si="23"/>
        <v>102：森健太</v>
      </c>
    </row>
    <row r="106" spans="1:15" hidden="1" outlineLevel="1" x14ac:dyDescent="0.2">
      <c r="A106" s="5">
        <f t="shared" si="18"/>
        <v>103</v>
      </c>
      <c r="B106" t="s">
        <v>271</v>
      </c>
      <c r="C106" s="5" t="s">
        <v>207</v>
      </c>
      <c r="D106" s="5" t="s">
        <v>76</v>
      </c>
      <c r="E106" s="5" t="s">
        <v>42</v>
      </c>
      <c r="F106" s="6">
        <f>IFERROR(INDEX(TankaData[1コマ単価],MATCH(E106,TankaData[コース],0)),0)</f>
        <v>3500</v>
      </c>
      <c r="G106" s="7">
        <v>4</v>
      </c>
      <c r="H106" s="8">
        <f t="shared" si="19"/>
        <v>16</v>
      </c>
      <c r="I106" s="6">
        <f>IFERROR(INDEX(TankaData[教材費(標準)],MATCH(E106,TankaData[コース],0)),0)</f>
        <v>6000</v>
      </c>
      <c r="J106" s="6">
        <f t="shared" si="20"/>
        <v>56000</v>
      </c>
      <c r="K106" s="6">
        <f t="shared" si="21"/>
        <v>68200</v>
      </c>
      <c r="L106" t="s">
        <v>272</v>
      </c>
      <c r="M106" s="9" t="s">
        <v>59</v>
      </c>
      <c r="N106" s="10" t="str">
        <f t="shared" si="22"/>
        <v>教室：東校／コース：個別指導／コマ数：16コマ／授業料：56,000円／教材費：6,000円／消費税：6,200円／請求額：68,200円</v>
      </c>
      <c r="O106" t="str">
        <f t="shared" si="23"/>
        <v>103：伊藤悠真</v>
      </c>
    </row>
    <row r="107" spans="1:15" hidden="1" outlineLevel="1" x14ac:dyDescent="0.2">
      <c r="A107" s="5">
        <f t="shared" si="18"/>
        <v>104</v>
      </c>
      <c r="B107" t="s">
        <v>273</v>
      </c>
      <c r="C107" s="5" t="s">
        <v>207</v>
      </c>
      <c r="D107" s="5" t="s">
        <v>99</v>
      </c>
      <c r="E107" s="5" t="s">
        <v>41</v>
      </c>
      <c r="F107" s="6">
        <f>IFERROR(INDEX(TankaData[1コマ単価],MATCH(E107,TankaData[コース],0)),0)</f>
        <v>4000</v>
      </c>
      <c r="G107" s="7">
        <v>5</v>
      </c>
      <c r="H107" s="8">
        <f t="shared" si="19"/>
        <v>20</v>
      </c>
      <c r="I107" s="6">
        <f>IFERROR(INDEX(TankaData[教材費(標準)],MATCH(E107,TankaData[コース],0)),0)</f>
        <v>7000</v>
      </c>
      <c r="J107" s="6">
        <f t="shared" si="20"/>
        <v>80000</v>
      </c>
      <c r="K107" s="6">
        <f t="shared" si="21"/>
        <v>95700</v>
      </c>
      <c r="L107" t="s">
        <v>274</v>
      </c>
      <c r="M107" s="9" t="s">
        <v>59</v>
      </c>
      <c r="N107" s="10" t="str">
        <f t="shared" si="22"/>
        <v>教室：東校／コース：個別指導S／コマ数：20コマ／授業料：80,000円／教材費：7,000円／消費税：8,700円／請求額：95,700円</v>
      </c>
      <c r="O107" t="str">
        <f t="shared" si="23"/>
        <v>104：松本大輝</v>
      </c>
    </row>
    <row r="108" spans="1:15" hidden="1" outlineLevel="1" x14ac:dyDescent="0.2">
      <c r="A108" s="5">
        <f t="shared" si="18"/>
        <v>105</v>
      </c>
      <c r="B108" t="s">
        <v>275</v>
      </c>
      <c r="C108" s="5" t="s">
        <v>207</v>
      </c>
      <c r="D108" s="5" t="s">
        <v>76</v>
      </c>
      <c r="E108" s="5" t="s">
        <v>44</v>
      </c>
      <c r="F108" s="6">
        <f>IFERROR(INDEX(TankaData[1コマ単価],MATCH(E108,TankaData[コース],0)),0)</f>
        <v>2100</v>
      </c>
      <c r="G108" s="7">
        <v>4</v>
      </c>
      <c r="H108" s="8">
        <f t="shared" si="19"/>
        <v>16</v>
      </c>
      <c r="I108" s="6">
        <f>IFERROR(INDEX(TankaData[教材費(標準)],MATCH(E108,TankaData[コース],0)),0)</f>
        <v>3000</v>
      </c>
      <c r="J108" s="6">
        <f t="shared" si="20"/>
        <v>33600</v>
      </c>
      <c r="K108" s="6">
        <f t="shared" si="21"/>
        <v>40260</v>
      </c>
      <c r="L108" t="s">
        <v>276</v>
      </c>
      <c r="M108" s="9" t="s">
        <v>59</v>
      </c>
      <c r="N108" s="10" t="str">
        <f t="shared" si="22"/>
        <v>教室：東校／コース：映像授業／コマ数：16コマ／授業料：33,600円／教材費：3,000円／消費税：3,660円／請求額：40,260円</v>
      </c>
      <c r="O108" t="str">
        <f t="shared" si="23"/>
        <v>105：太田拓也</v>
      </c>
    </row>
    <row r="109" spans="1:15" hidden="1" outlineLevel="1" x14ac:dyDescent="0.2">
      <c r="A109" s="5">
        <f t="shared" si="18"/>
        <v>106</v>
      </c>
      <c r="B109" t="s">
        <v>277</v>
      </c>
      <c r="C109" s="5" t="s">
        <v>207</v>
      </c>
      <c r="D109" s="5" t="s">
        <v>86</v>
      </c>
      <c r="E109" s="5" t="s">
        <v>43</v>
      </c>
      <c r="F109" s="6">
        <f>IFERROR(INDEX(TankaData[1コマ単価],MATCH(E109,TankaData[コース],0)),0)</f>
        <v>2500</v>
      </c>
      <c r="G109" s="7">
        <v>2</v>
      </c>
      <c r="H109" s="8">
        <f t="shared" si="19"/>
        <v>8</v>
      </c>
      <c r="I109" s="6">
        <f>IFERROR(INDEX(TankaData[教材費(標準)],MATCH(E109,TankaData[コース],0)),0)</f>
        <v>4500</v>
      </c>
      <c r="J109" s="6">
        <f t="shared" si="20"/>
        <v>20000</v>
      </c>
      <c r="K109" s="6">
        <f t="shared" si="21"/>
        <v>26950</v>
      </c>
      <c r="L109" t="s">
        <v>278</v>
      </c>
      <c r="M109" s="9" t="s">
        <v>59</v>
      </c>
      <c r="N109" s="10" t="str">
        <f t="shared" si="22"/>
        <v>教室：東校／コース：集団授業／コマ数：8コマ／授業料：20,000円／教材費：4,500円／消費税：2,450円／請求額：26,950円</v>
      </c>
      <c r="O109" t="str">
        <f t="shared" si="23"/>
        <v>106：中島悠真</v>
      </c>
    </row>
    <row r="110" spans="1:15" hidden="1" outlineLevel="1" x14ac:dyDescent="0.2">
      <c r="A110" s="5">
        <f t="shared" si="18"/>
        <v>107</v>
      </c>
      <c r="B110" t="s">
        <v>279</v>
      </c>
      <c r="C110" s="5" t="s">
        <v>207</v>
      </c>
      <c r="D110" s="5" t="s">
        <v>57</v>
      </c>
      <c r="E110" s="5" t="s">
        <v>43</v>
      </c>
      <c r="F110" s="6">
        <f>IFERROR(INDEX(TankaData[1コマ単価],MATCH(E110,TankaData[コース],0)),0)</f>
        <v>2500</v>
      </c>
      <c r="G110" s="7">
        <v>4</v>
      </c>
      <c r="H110" s="8">
        <f t="shared" si="19"/>
        <v>16</v>
      </c>
      <c r="I110" s="6">
        <f>IFERROR(INDEX(TankaData[教材費(標準)],MATCH(E110,TankaData[コース],0)),0)</f>
        <v>4500</v>
      </c>
      <c r="J110" s="6">
        <f t="shared" si="20"/>
        <v>40000</v>
      </c>
      <c r="K110" s="6">
        <f t="shared" si="21"/>
        <v>48950</v>
      </c>
      <c r="L110" t="s">
        <v>280</v>
      </c>
      <c r="M110" s="9" t="s">
        <v>59</v>
      </c>
      <c r="N110" s="10" t="str">
        <f t="shared" si="22"/>
        <v>教室：東校／コース：集団授業／コマ数：16コマ／授業料：40,000円／教材費：4,500円／消費税：4,450円／請求額：48,950円</v>
      </c>
      <c r="O110" t="str">
        <f t="shared" si="23"/>
        <v>107：中野咲良</v>
      </c>
    </row>
    <row r="111" spans="1:15" hidden="1" outlineLevel="1" x14ac:dyDescent="0.2">
      <c r="A111" s="5">
        <f t="shared" si="18"/>
        <v>108</v>
      </c>
      <c r="B111" t="s">
        <v>281</v>
      </c>
      <c r="C111" s="5" t="s">
        <v>207</v>
      </c>
      <c r="D111" s="5" t="s">
        <v>99</v>
      </c>
      <c r="E111" s="5" t="s">
        <v>41</v>
      </c>
      <c r="F111" s="6">
        <f>IFERROR(INDEX(TankaData[1コマ単価],MATCH(E111,TankaData[コース],0)),0)</f>
        <v>4000</v>
      </c>
      <c r="G111" s="7">
        <v>4</v>
      </c>
      <c r="H111" s="8">
        <f t="shared" si="19"/>
        <v>16</v>
      </c>
      <c r="I111" s="6">
        <f>IFERROR(INDEX(TankaData[教材費(標準)],MATCH(E111,TankaData[コース],0)),0)</f>
        <v>7000</v>
      </c>
      <c r="J111" s="6">
        <f t="shared" si="20"/>
        <v>64000</v>
      </c>
      <c r="K111" s="6">
        <f t="shared" si="21"/>
        <v>78100</v>
      </c>
      <c r="L111" t="s">
        <v>282</v>
      </c>
      <c r="M111" s="9" t="s">
        <v>59</v>
      </c>
      <c r="N111" s="10" t="str">
        <f t="shared" si="22"/>
        <v>教室：東校／コース：個別指導S／コマ数：16コマ／授業料：64,000円／教材費：7,000円／消費税：7,100円／請求額：78,100円</v>
      </c>
      <c r="O111" t="str">
        <f t="shared" si="23"/>
        <v>108：吉田優奈</v>
      </c>
    </row>
    <row r="112" spans="1:15" hidden="1" outlineLevel="1" x14ac:dyDescent="0.2">
      <c r="A112" s="5">
        <f t="shared" si="18"/>
        <v>109</v>
      </c>
      <c r="B112" t="s">
        <v>283</v>
      </c>
      <c r="C112" s="5" t="s">
        <v>207</v>
      </c>
      <c r="D112" s="5" t="s">
        <v>86</v>
      </c>
      <c r="E112" s="5" t="s">
        <v>41</v>
      </c>
      <c r="F112" s="6">
        <f>IFERROR(INDEX(TankaData[1コマ単価],MATCH(E112,TankaData[コース],0)),0)</f>
        <v>4000</v>
      </c>
      <c r="G112" s="7">
        <v>5</v>
      </c>
      <c r="H112" s="8">
        <f t="shared" si="19"/>
        <v>20</v>
      </c>
      <c r="I112" s="6">
        <f>IFERROR(INDEX(TankaData[教材費(標準)],MATCH(E112,TankaData[コース],0)),0)</f>
        <v>7000</v>
      </c>
      <c r="J112" s="6">
        <f t="shared" si="20"/>
        <v>80000</v>
      </c>
      <c r="K112" s="6">
        <f t="shared" si="21"/>
        <v>95700</v>
      </c>
      <c r="L112" t="s">
        <v>284</v>
      </c>
      <c r="M112" s="9" t="s">
        <v>59</v>
      </c>
      <c r="N112" s="10" t="str">
        <f t="shared" si="22"/>
        <v>教室：東校／コース：個別指導S／コマ数：20コマ／授業料：80,000円／教材費：7,000円／消費税：8,700円／請求額：95,700円</v>
      </c>
      <c r="O112" t="str">
        <f t="shared" si="23"/>
        <v>109：林大翔</v>
      </c>
    </row>
    <row r="113" spans="1:15" hidden="1" outlineLevel="1" x14ac:dyDescent="0.2">
      <c r="A113" s="5">
        <f t="shared" si="18"/>
        <v>110</v>
      </c>
      <c r="B113" t="s">
        <v>285</v>
      </c>
      <c r="C113" s="5" t="s">
        <v>207</v>
      </c>
      <c r="D113" s="5" t="s">
        <v>57</v>
      </c>
      <c r="E113" s="5" t="s">
        <v>42</v>
      </c>
      <c r="F113" s="6">
        <f>IFERROR(INDEX(TankaData[1コマ単価],MATCH(E113,TankaData[コース],0)),0)</f>
        <v>3500</v>
      </c>
      <c r="G113" s="7">
        <v>2</v>
      </c>
      <c r="H113" s="8">
        <f t="shared" si="19"/>
        <v>8</v>
      </c>
      <c r="I113" s="6">
        <f>IFERROR(INDEX(TankaData[教材費(標準)],MATCH(E113,TankaData[コース],0)),0)</f>
        <v>6000</v>
      </c>
      <c r="J113" s="6">
        <f t="shared" si="20"/>
        <v>28000</v>
      </c>
      <c r="K113" s="6">
        <f t="shared" si="21"/>
        <v>37400</v>
      </c>
      <c r="L113" t="s">
        <v>286</v>
      </c>
      <c r="M113" s="9" t="s">
        <v>59</v>
      </c>
      <c r="N113" s="10" t="str">
        <f t="shared" si="22"/>
        <v>教室：東校／コース：個別指導／コマ数：8コマ／授業料：28,000円／教材費：6,000円／消費税：3,400円／請求額：37,400円</v>
      </c>
      <c r="O113" t="str">
        <f t="shared" si="23"/>
        <v>110：青木陽菜</v>
      </c>
    </row>
    <row r="114" spans="1:15" hidden="1" outlineLevel="1" x14ac:dyDescent="0.2">
      <c r="A114" s="5">
        <f t="shared" si="18"/>
        <v>111</v>
      </c>
      <c r="B114" t="s">
        <v>287</v>
      </c>
      <c r="C114" s="5" t="s">
        <v>207</v>
      </c>
      <c r="D114" s="5" t="s">
        <v>76</v>
      </c>
      <c r="E114" s="5" t="s">
        <v>41</v>
      </c>
      <c r="F114" s="6">
        <f>IFERROR(INDEX(TankaData[1コマ単価],MATCH(E114,TankaData[コース],0)),0)</f>
        <v>4000</v>
      </c>
      <c r="G114" s="7">
        <v>2</v>
      </c>
      <c r="H114" s="8">
        <f t="shared" si="19"/>
        <v>8</v>
      </c>
      <c r="I114" s="6">
        <f>IFERROR(INDEX(TankaData[教材費(標準)],MATCH(E114,TankaData[コース],0)),0)</f>
        <v>7000</v>
      </c>
      <c r="J114" s="6">
        <f t="shared" si="20"/>
        <v>32000</v>
      </c>
      <c r="K114" s="6">
        <f t="shared" si="21"/>
        <v>42900</v>
      </c>
      <c r="L114" t="s">
        <v>288</v>
      </c>
      <c r="M114" s="9" t="s">
        <v>59</v>
      </c>
      <c r="N114" s="10" t="str">
        <f t="shared" si="22"/>
        <v>教室：東校／コース：個別指導S／コマ数：8コマ／授業料：32,000円／教材費：7,000円／消費税：3,900円／請求額：42,900円</v>
      </c>
      <c r="O114" t="str">
        <f t="shared" si="23"/>
        <v>111：清水一輝</v>
      </c>
    </row>
    <row r="115" spans="1:15" hidden="1" outlineLevel="1" x14ac:dyDescent="0.2">
      <c r="A115" s="5">
        <f t="shared" si="18"/>
        <v>112</v>
      </c>
      <c r="B115" t="s">
        <v>289</v>
      </c>
      <c r="C115" s="5" t="s">
        <v>207</v>
      </c>
      <c r="D115" s="5" t="s">
        <v>99</v>
      </c>
      <c r="E115" s="5" t="s">
        <v>44</v>
      </c>
      <c r="F115" s="6">
        <f>IFERROR(INDEX(TankaData[1コマ単価],MATCH(E115,TankaData[コース],0)),0)</f>
        <v>2100</v>
      </c>
      <c r="G115" s="7">
        <v>5</v>
      </c>
      <c r="H115" s="8">
        <f t="shared" si="19"/>
        <v>20</v>
      </c>
      <c r="I115" s="6">
        <f>IFERROR(INDEX(TankaData[教材費(標準)],MATCH(E115,TankaData[コース],0)),0)</f>
        <v>3000</v>
      </c>
      <c r="J115" s="6">
        <f t="shared" si="20"/>
        <v>42000</v>
      </c>
      <c r="K115" s="6">
        <f t="shared" si="21"/>
        <v>49500</v>
      </c>
      <c r="L115" t="s">
        <v>290</v>
      </c>
      <c r="M115" s="9" t="s">
        <v>59</v>
      </c>
      <c r="N115" s="10" t="str">
        <f t="shared" si="22"/>
        <v>教室：東校／コース：映像授業／コマ数：20コマ／授業料：42,000円／教材費：3,000円／消費税：4,500円／請求額：49,500円</v>
      </c>
      <c r="O115" t="str">
        <f t="shared" si="23"/>
        <v>112：井上朝陽</v>
      </c>
    </row>
    <row r="116" spans="1:15" hidden="1" outlineLevel="1" x14ac:dyDescent="0.2">
      <c r="A116" s="5">
        <f t="shared" si="18"/>
        <v>113</v>
      </c>
      <c r="B116" t="s">
        <v>291</v>
      </c>
      <c r="C116" s="5" t="s">
        <v>207</v>
      </c>
      <c r="D116" s="5" t="s">
        <v>81</v>
      </c>
      <c r="E116" s="5" t="s">
        <v>44</v>
      </c>
      <c r="F116" s="6">
        <f>IFERROR(INDEX(TankaData[1コマ単価],MATCH(E116,TankaData[コース],0)),0)</f>
        <v>2100</v>
      </c>
      <c r="G116" s="7">
        <v>4</v>
      </c>
      <c r="H116" s="8">
        <f t="shared" si="19"/>
        <v>16</v>
      </c>
      <c r="I116" s="6">
        <f>IFERROR(INDEX(TankaData[教材費(標準)],MATCH(E116,TankaData[コース],0)),0)</f>
        <v>3000</v>
      </c>
      <c r="J116" s="6">
        <f t="shared" si="20"/>
        <v>33600</v>
      </c>
      <c r="K116" s="6">
        <f t="shared" si="21"/>
        <v>40260</v>
      </c>
      <c r="L116" t="s">
        <v>292</v>
      </c>
      <c r="M116" s="9" t="s">
        <v>59</v>
      </c>
      <c r="N116" s="10" t="str">
        <f t="shared" si="22"/>
        <v>教室：東校／コース：映像授業／コマ数：16コマ／授業料：33,600円／教材費：3,000円／消費税：3,660円／請求額：40,260円</v>
      </c>
      <c r="O116" t="str">
        <f t="shared" si="23"/>
        <v>113：中野美桜</v>
      </c>
    </row>
    <row r="117" spans="1:15" hidden="1" outlineLevel="1" x14ac:dyDescent="0.2">
      <c r="A117" s="5">
        <f t="shared" si="18"/>
        <v>114</v>
      </c>
      <c r="B117" t="s">
        <v>293</v>
      </c>
      <c r="C117" s="5" t="s">
        <v>207</v>
      </c>
      <c r="D117" s="5" t="s">
        <v>86</v>
      </c>
      <c r="E117" s="5" t="s">
        <v>43</v>
      </c>
      <c r="F117" s="6">
        <f>IFERROR(INDEX(TankaData[1コマ単価],MATCH(E117,TankaData[コース],0)),0)</f>
        <v>2500</v>
      </c>
      <c r="G117" s="7">
        <v>5</v>
      </c>
      <c r="H117" s="8">
        <f t="shared" si="19"/>
        <v>20</v>
      </c>
      <c r="I117" s="6">
        <f>IFERROR(INDEX(TankaData[教材費(標準)],MATCH(E117,TankaData[コース],0)),0)</f>
        <v>4500</v>
      </c>
      <c r="J117" s="6">
        <f t="shared" si="20"/>
        <v>50000</v>
      </c>
      <c r="K117" s="6">
        <f t="shared" si="21"/>
        <v>59950</v>
      </c>
      <c r="L117" t="s">
        <v>294</v>
      </c>
      <c r="M117" s="9" t="s">
        <v>59</v>
      </c>
      <c r="N117" s="10" t="str">
        <f t="shared" si="22"/>
        <v>教室：東校／コース：集団授業／コマ数：20コマ／授業料：50,000円／教材費：4,500円／消費税：5,450円／請求額：59,950円</v>
      </c>
      <c r="O117" t="str">
        <f t="shared" si="23"/>
        <v>114：林美月</v>
      </c>
    </row>
    <row r="118" spans="1:15" hidden="1" outlineLevel="1" x14ac:dyDescent="0.2">
      <c r="A118" s="5">
        <f t="shared" si="18"/>
        <v>115</v>
      </c>
      <c r="B118" t="s">
        <v>295</v>
      </c>
      <c r="C118" s="5" t="s">
        <v>207</v>
      </c>
      <c r="D118" s="5" t="s">
        <v>61</v>
      </c>
      <c r="E118" s="5" t="s">
        <v>43</v>
      </c>
      <c r="F118" s="6">
        <f>IFERROR(INDEX(TankaData[1コマ単価],MATCH(E118,TankaData[コース],0)),0)</f>
        <v>2500</v>
      </c>
      <c r="G118" s="7">
        <v>5</v>
      </c>
      <c r="H118" s="8">
        <f t="shared" si="19"/>
        <v>20</v>
      </c>
      <c r="I118" s="6">
        <f>IFERROR(INDEX(TankaData[教材費(標準)],MATCH(E118,TankaData[コース],0)),0)</f>
        <v>4500</v>
      </c>
      <c r="J118" s="6">
        <f t="shared" si="20"/>
        <v>50000</v>
      </c>
      <c r="K118" s="6">
        <f t="shared" si="21"/>
        <v>59950</v>
      </c>
      <c r="L118" t="s">
        <v>296</v>
      </c>
      <c r="M118" s="9" t="s">
        <v>59</v>
      </c>
      <c r="N118" s="10" t="str">
        <f t="shared" si="22"/>
        <v>教室：東校／コース：集団授業／コマ数：20コマ／授業料：50,000円／教材費：4,500円／消費税：5,450円／請求額：59,950円</v>
      </c>
      <c r="O118" t="str">
        <f t="shared" si="23"/>
        <v>115：加藤悠斗</v>
      </c>
    </row>
    <row r="119" spans="1:15" hidden="1" outlineLevel="1" x14ac:dyDescent="0.2">
      <c r="A119" s="5">
        <f t="shared" si="18"/>
        <v>116</v>
      </c>
      <c r="B119" t="s">
        <v>297</v>
      </c>
      <c r="C119" s="5" t="s">
        <v>207</v>
      </c>
      <c r="D119" s="5" t="s">
        <v>57</v>
      </c>
      <c r="E119" s="5" t="s">
        <v>41</v>
      </c>
      <c r="F119" s="6">
        <f>IFERROR(INDEX(TankaData[1コマ単価],MATCH(E119,TankaData[コース],0)),0)</f>
        <v>4000</v>
      </c>
      <c r="G119" s="7">
        <v>2</v>
      </c>
      <c r="H119" s="8">
        <f t="shared" si="19"/>
        <v>8</v>
      </c>
      <c r="I119" s="6">
        <f>IFERROR(INDEX(TankaData[教材費(標準)],MATCH(E119,TankaData[コース],0)),0)</f>
        <v>7000</v>
      </c>
      <c r="J119" s="6">
        <f t="shared" si="20"/>
        <v>32000</v>
      </c>
      <c r="K119" s="6">
        <f t="shared" si="21"/>
        <v>42900</v>
      </c>
      <c r="L119" t="s">
        <v>298</v>
      </c>
      <c r="M119" s="9" t="s">
        <v>59</v>
      </c>
      <c r="N119" s="10" t="str">
        <f t="shared" si="22"/>
        <v>教室：東校／コース：個別指導S／コマ数：8コマ／授業料：32,000円／教材費：7,000円／消費税：3,900円／請求額：42,900円</v>
      </c>
      <c r="O119" t="str">
        <f t="shared" si="23"/>
        <v>116：福田結衣</v>
      </c>
    </row>
    <row r="120" spans="1:15" hidden="1" outlineLevel="1" x14ac:dyDescent="0.2">
      <c r="A120" s="5">
        <f t="shared" si="18"/>
        <v>117</v>
      </c>
      <c r="B120" t="s">
        <v>299</v>
      </c>
      <c r="C120" s="5" t="s">
        <v>207</v>
      </c>
      <c r="D120" s="5" t="s">
        <v>81</v>
      </c>
      <c r="E120" s="5" t="s">
        <v>43</v>
      </c>
      <c r="F120" s="6">
        <f>IFERROR(INDEX(TankaData[1コマ単価],MATCH(E120,TankaData[コース],0)),0)</f>
        <v>2500</v>
      </c>
      <c r="G120" s="7">
        <v>1</v>
      </c>
      <c r="H120" s="8">
        <f t="shared" si="19"/>
        <v>4</v>
      </c>
      <c r="I120" s="6">
        <f>IFERROR(INDEX(TankaData[教材費(標準)],MATCH(E120,TankaData[コース],0)),0)</f>
        <v>4500</v>
      </c>
      <c r="J120" s="6">
        <f t="shared" si="20"/>
        <v>10000</v>
      </c>
      <c r="K120" s="6">
        <f t="shared" si="21"/>
        <v>15950</v>
      </c>
      <c r="L120" t="s">
        <v>300</v>
      </c>
      <c r="M120" s="9" t="s">
        <v>59</v>
      </c>
      <c r="N120" s="10" t="str">
        <f t="shared" si="22"/>
        <v>教室：東校／コース：集団授業／コマ数：4コマ／授業料：10,000円／教材費：4,500円／消費税：1,450円／請求額：15,950円</v>
      </c>
      <c r="O120" t="str">
        <f t="shared" si="23"/>
        <v>117：山口陽向</v>
      </c>
    </row>
    <row r="121" spans="1:15" hidden="1" outlineLevel="1" x14ac:dyDescent="0.2">
      <c r="A121" s="5">
        <f t="shared" si="18"/>
        <v>118</v>
      </c>
      <c r="B121" t="s">
        <v>301</v>
      </c>
      <c r="C121" s="5" t="s">
        <v>207</v>
      </c>
      <c r="D121" s="5" t="s">
        <v>114</v>
      </c>
      <c r="E121" s="5" t="s">
        <v>42</v>
      </c>
      <c r="F121" s="6">
        <f>IFERROR(INDEX(TankaData[1コマ単価],MATCH(E121,TankaData[コース],0)),0)</f>
        <v>3500</v>
      </c>
      <c r="G121" s="7">
        <v>2</v>
      </c>
      <c r="H121" s="8">
        <f t="shared" si="19"/>
        <v>8</v>
      </c>
      <c r="I121" s="6">
        <f>IFERROR(INDEX(TankaData[教材費(標準)],MATCH(E121,TankaData[コース],0)),0)</f>
        <v>6000</v>
      </c>
      <c r="J121" s="6">
        <f t="shared" si="20"/>
        <v>28000</v>
      </c>
      <c r="K121" s="6">
        <f t="shared" si="21"/>
        <v>37400</v>
      </c>
      <c r="L121" t="s">
        <v>302</v>
      </c>
      <c r="M121" s="9" t="s">
        <v>59</v>
      </c>
      <c r="N121" s="10" t="str">
        <f t="shared" si="22"/>
        <v>教室：東校／コース：個別指導／コマ数：8コマ／授業料：28,000円／教材費：6,000円／消費税：3,400円／請求額：37,400円</v>
      </c>
      <c r="O121" t="str">
        <f t="shared" si="23"/>
        <v>118：高橋蒼</v>
      </c>
    </row>
    <row r="122" spans="1:15" hidden="1" outlineLevel="1" x14ac:dyDescent="0.2">
      <c r="A122" s="5">
        <f t="shared" si="18"/>
        <v>119</v>
      </c>
      <c r="B122" t="s">
        <v>303</v>
      </c>
      <c r="C122" s="5" t="s">
        <v>207</v>
      </c>
      <c r="D122" s="5" t="s">
        <v>67</v>
      </c>
      <c r="E122" s="5" t="s">
        <v>41</v>
      </c>
      <c r="F122" s="6">
        <f>IFERROR(INDEX(TankaData[1コマ単価],MATCH(E122,TankaData[コース],0)),0)</f>
        <v>4000</v>
      </c>
      <c r="G122" s="7">
        <v>2</v>
      </c>
      <c r="H122" s="8">
        <f t="shared" si="19"/>
        <v>8</v>
      </c>
      <c r="I122" s="6">
        <f>IFERROR(INDEX(TankaData[教材費(標準)],MATCH(E122,TankaData[コース],0)),0)</f>
        <v>7000</v>
      </c>
      <c r="J122" s="6">
        <f t="shared" si="20"/>
        <v>32000</v>
      </c>
      <c r="K122" s="6">
        <f t="shared" si="21"/>
        <v>42900</v>
      </c>
      <c r="L122" t="s">
        <v>304</v>
      </c>
      <c r="M122" s="9" t="s">
        <v>59</v>
      </c>
      <c r="N122" s="10" t="str">
        <f t="shared" si="22"/>
        <v>教室：東校／コース：個別指導S／コマ数：8コマ／授業料：32,000円／教材費：7,000円／消費税：3,900円／請求額：42,900円</v>
      </c>
      <c r="O122" t="str">
        <f t="shared" si="23"/>
        <v>119：林翔太</v>
      </c>
    </row>
    <row r="123" spans="1:15" hidden="1" outlineLevel="1" x14ac:dyDescent="0.2">
      <c r="A123" s="5">
        <f t="shared" si="18"/>
        <v>120</v>
      </c>
      <c r="B123" t="s">
        <v>305</v>
      </c>
      <c r="C123" s="5" t="s">
        <v>207</v>
      </c>
      <c r="D123" s="5" t="s">
        <v>57</v>
      </c>
      <c r="E123" s="5" t="s">
        <v>44</v>
      </c>
      <c r="F123" s="6">
        <f>IFERROR(INDEX(TankaData[1コマ単価],MATCH(E123,TankaData[コース],0)),0)</f>
        <v>2100</v>
      </c>
      <c r="G123" s="7">
        <v>4</v>
      </c>
      <c r="H123" s="8">
        <f t="shared" si="19"/>
        <v>16</v>
      </c>
      <c r="I123" s="6">
        <f>IFERROR(INDEX(TankaData[教材費(標準)],MATCH(E123,TankaData[コース],0)),0)</f>
        <v>3000</v>
      </c>
      <c r="J123" s="6">
        <f t="shared" si="20"/>
        <v>33600</v>
      </c>
      <c r="K123" s="6">
        <f t="shared" si="21"/>
        <v>40260</v>
      </c>
      <c r="L123" t="s">
        <v>306</v>
      </c>
      <c r="M123" s="9" t="s">
        <v>59</v>
      </c>
      <c r="N123" s="10" t="str">
        <f t="shared" si="22"/>
        <v>教室：東校／コース：映像授業／コマ数：16コマ／授業料：33,600円／教材費：3,000円／消費税：3,660円／請求額：40,260円</v>
      </c>
      <c r="O123" t="str">
        <f t="shared" si="23"/>
        <v>120：岡田詩織</v>
      </c>
    </row>
    <row r="124" spans="1:15" hidden="1" outlineLevel="1" x14ac:dyDescent="0.2">
      <c r="A124" s="5">
        <f t="shared" si="18"/>
        <v>121</v>
      </c>
      <c r="B124" t="s">
        <v>307</v>
      </c>
      <c r="C124" s="5" t="s">
        <v>207</v>
      </c>
      <c r="D124" s="5" t="s">
        <v>86</v>
      </c>
      <c r="E124" s="5" t="s">
        <v>43</v>
      </c>
      <c r="F124" s="6">
        <f>IFERROR(INDEX(TankaData[1コマ単価],MATCH(E124,TankaData[コース],0)),0)</f>
        <v>2500</v>
      </c>
      <c r="G124" s="7">
        <v>1</v>
      </c>
      <c r="H124" s="8">
        <f t="shared" si="19"/>
        <v>4</v>
      </c>
      <c r="I124" s="6">
        <f>IFERROR(INDEX(TankaData[教材費(標準)],MATCH(E124,TankaData[コース],0)),0)</f>
        <v>4500</v>
      </c>
      <c r="J124" s="6">
        <f t="shared" si="20"/>
        <v>10000</v>
      </c>
      <c r="K124" s="6">
        <f t="shared" si="21"/>
        <v>15950</v>
      </c>
      <c r="L124" t="s">
        <v>308</v>
      </c>
      <c r="M124" s="9" t="s">
        <v>59</v>
      </c>
      <c r="N124" s="10" t="str">
        <f t="shared" si="22"/>
        <v>教室：東校／コース：集団授業／コマ数：4コマ／授業料：10,000円／教材費：4,500円／消費税：1,450円／請求額：15,950円</v>
      </c>
      <c r="O124" t="str">
        <f t="shared" si="23"/>
        <v>121：後藤蒼</v>
      </c>
    </row>
    <row r="125" spans="1:15" hidden="1" outlineLevel="1" x14ac:dyDescent="0.2">
      <c r="A125" s="5">
        <f t="shared" si="18"/>
        <v>122</v>
      </c>
      <c r="B125" t="s">
        <v>309</v>
      </c>
      <c r="C125" s="5" t="s">
        <v>207</v>
      </c>
      <c r="D125" s="5" t="s">
        <v>81</v>
      </c>
      <c r="E125" s="5" t="s">
        <v>43</v>
      </c>
      <c r="F125" s="6">
        <f>IFERROR(INDEX(TankaData[1コマ単価],MATCH(E125,TankaData[コース],0)),0)</f>
        <v>2500</v>
      </c>
      <c r="G125" s="7">
        <v>3</v>
      </c>
      <c r="H125" s="8">
        <f t="shared" si="19"/>
        <v>12</v>
      </c>
      <c r="I125" s="6">
        <f>IFERROR(INDEX(TankaData[教材費(標準)],MATCH(E125,TankaData[コース],0)),0)</f>
        <v>4500</v>
      </c>
      <c r="J125" s="6">
        <f t="shared" si="20"/>
        <v>30000</v>
      </c>
      <c r="K125" s="6">
        <f t="shared" si="21"/>
        <v>37950</v>
      </c>
      <c r="L125" t="s">
        <v>310</v>
      </c>
      <c r="M125" s="9" t="s">
        <v>59</v>
      </c>
      <c r="N125" s="10" t="str">
        <f t="shared" si="22"/>
        <v>教室：東校／コース：集団授業／コマ数：12コマ／授業料：30,000円／教材費：4,500円／消費税：3,450円／請求額：37,950円</v>
      </c>
      <c r="O125" t="str">
        <f t="shared" si="23"/>
        <v>122：渡辺陽菜乃</v>
      </c>
    </row>
    <row r="126" spans="1:15" hidden="1" outlineLevel="1" x14ac:dyDescent="0.2">
      <c r="A126" s="5">
        <f t="shared" si="18"/>
        <v>123</v>
      </c>
      <c r="B126" t="s">
        <v>311</v>
      </c>
      <c r="C126" s="5" t="s">
        <v>207</v>
      </c>
      <c r="D126" s="5" t="s">
        <v>86</v>
      </c>
      <c r="E126" s="5" t="s">
        <v>41</v>
      </c>
      <c r="F126" s="6">
        <f>IFERROR(INDEX(TankaData[1コマ単価],MATCH(E126,TankaData[コース],0)),0)</f>
        <v>4000</v>
      </c>
      <c r="G126" s="7">
        <v>2</v>
      </c>
      <c r="H126" s="8">
        <f t="shared" si="19"/>
        <v>8</v>
      </c>
      <c r="I126" s="6">
        <f>IFERROR(INDEX(TankaData[教材費(標準)],MATCH(E126,TankaData[コース],0)),0)</f>
        <v>7000</v>
      </c>
      <c r="J126" s="6">
        <f t="shared" si="20"/>
        <v>32000</v>
      </c>
      <c r="K126" s="6">
        <f t="shared" si="21"/>
        <v>42900</v>
      </c>
      <c r="L126" t="s">
        <v>312</v>
      </c>
      <c r="M126" s="9" t="s">
        <v>59</v>
      </c>
      <c r="N126" s="10" t="str">
        <f t="shared" si="22"/>
        <v>教室：東校／コース：個別指導S／コマ数：8コマ／授業料：32,000円／教材費：7,000円／消費税：3,900円／請求額：42,900円</v>
      </c>
      <c r="O126" t="str">
        <f t="shared" si="23"/>
        <v>123：小川一輝</v>
      </c>
    </row>
    <row r="127" spans="1:15" hidden="1" outlineLevel="1" x14ac:dyDescent="0.2">
      <c r="A127" s="5">
        <f t="shared" si="18"/>
        <v>124</v>
      </c>
      <c r="B127" t="s">
        <v>313</v>
      </c>
      <c r="C127" s="5" t="s">
        <v>207</v>
      </c>
      <c r="D127" s="5" t="s">
        <v>76</v>
      </c>
      <c r="E127" s="5" t="s">
        <v>42</v>
      </c>
      <c r="F127" s="6">
        <f>IFERROR(INDEX(TankaData[1コマ単価],MATCH(E127,TankaData[コース],0)),0)</f>
        <v>3500</v>
      </c>
      <c r="G127" s="7">
        <v>4</v>
      </c>
      <c r="H127" s="8">
        <f t="shared" si="19"/>
        <v>16</v>
      </c>
      <c r="I127" s="6">
        <f>IFERROR(INDEX(TankaData[教材費(標準)],MATCH(E127,TankaData[コース],0)),0)</f>
        <v>6000</v>
      </c>
      <c r="J127" s="6">
        <f t="shared" si="20"/>
        <v>56000</v>
      </c>
      <c r="K127" s="6">
        <f t="shared" si="21"/>
        <v>68200</v>
      </c>
      <c r="L127" t="s">
        <v>314</v>
      </c>
      <c r="M127" s="9" t="s">
        <v>59</v>
      </c>
      <c r="N127" s="10" t="str">
        <f t="shared" si="22"/>
        <v>教室：東校／コース：個別指導／コマ数：16コマ／授業料：56,000円／教材費：6,000円／消費税：6,200円／請求額：68,200円</v>
      </c>
      <c r="O127" t="str">
        <f t="shared" si="23"/>
        <v>124：斎藤愛</v>
      </c>
    </row>
    <row r="128" spans="1:15" hidden="1" outlineLevel="1" x14ac:dyDescent="0.2">
      <c r="A128" s="5">
        <f t="shared" si="18"/>
        <v>125</v>
      </c>
      <c r="B128" t="s">
        <v>315</v>
      </c>
      <c r="C128" s="5" t="s">
        <v>207</v>
      </c>
      <c r="D128" s="5" t="s">
        <v>99</v>
      </c>
      <c r="E128" s="5" t="s">
        <v>42</v>
      </c>
      <c r="F128" s="6">
        <f>IFERROR(INDEX(TankaData[1コマ単価],MATCH(E128,TankaData[コース],0)),0)</f>
        <v>3500</v>
      </c>
      <c r="G128" s="7">
        <v>2</v>
      </c>
      <c r="H128" s="8">
        <f t="shared" si="19"/>
        <v>8</v>
      </c>
      <c r="I128" s="6">
        <f>IFERROR(INDEX(TankaData[教材費(標準)],MATCH(E128,TankaData[コース],0)),0)</f>
        <v>6000</v>
      </c>
      <c r="J128" s="6">
        <f t="shared" si="20"/>
        <v>28000</v>
      </c>
      <c r="K128" s="6">
        <f t="shared" si="21"/>
        <v>37400</v>
      </c>
      <c r="L128" t="s">
        <v>316</v>
      </c>
      <c r="M128" s="9" t="s">
        <v>59</v>
      </c>
      <c r="N128" s="10" t="str">
        <f t="shared" si="22"/>
        <v>教室：東校／コース：個別指導／コマ数：8コマ／授業料：28,000円／教材費：6,000円／消費税：3,400円／請求額：37,400円</v>
      </c>
      <c r="O128" t="str">
        <f t="shared" si="23"/>
        <v>125：長谷川咲良</v>
      </c>
    </row>
    <row r="129" spans="1:15" hidden="1" outlineLevel="1" x14ac:dyDescent="0.2">
      <c r="A129" s="5">
        <f t="shared" si="18"/>
        <v>126</v>
      </c>
      <c r="B129" t="s">
        <v>317</v>
      </c>
      <c r="C129" s="5" t="s">
        <v>207</v>
      </c>
      <c r="D129" s="5" t="s">
        <v>76</v>
      </c>
      <c r="E129" s="5" t="s">
        <v>42</v>
      </c>
      <c r="F129" s="6">
        <f>IFERROR(INDEX(TankaData[1コマ単価],MATCH(E129,TankaData[コース],0)),0)</f>
        <v>3500</v>
      </c>
      <c r="G129" s="7">
        <v>1</v>
      </c>
      <c r="H129" s="8">
        <f t="shared" si="19"/>
        <v>4</v>
      </c>
      <c r="I129" s="6">
        <f>IFERROR(INDEX(TankaData[教材費(標準)],MATCH(E129,TankaData[コース],0)),0)</f>
        <v>6000</v>
      </c>
      <c r="J129" s="6">
        <f t="shared" si="20"/>
        <v>14000</v>
      </c>
      <c r="K129" s="6">
        <f t="shared" si="21"/>
        <v>22000</v>
      </c>
      <c r="L129" t="s">
        <v>318</v>
      </c>
      <c r="M129" s="9" t="s">
        <v>59</v>
      </c>
      <c r="N129" s="10" t="str">
        <f t="shared" si="22"/>
        <v>教室：東校／コース：個別指導／コマ数：4コマ／授業料：14,000円／教材費：6,000円／消費税：2,000円／請求額：22,000円</v>
      </c>
      <c r="O129" t="str">
        <f t="shared" si="23"/>
        <v>126：長谷川煌</v>
      </c>
    </row>
    <row r="130" spans="1:15" hidden="1" outlineLevel="1" x14ac:dyDescent="0.2">
      <c r="A130" s="5">
        <f t="shared" si="18"/>
        <v>127</v>
      </c>
      <c r="B130" t="s">
        <v>319</v>
      </c>
      <c r="C130" s="5" t="s">
        <v>207</v>
      </c>
      <c r="D130" s="5" t="s">
        <v>57</v>
      </c>
      <c r="E130" s="5" t="s">
        <v>42</v>
      </c>
      <c r="F130" s="6">
        <f>IFERROR(INDEX(TankaData[1コマ単価],MATCH(E130,TankaData[コース],0)),0)</f>
        <v>3500</v>
      </c>
      <c r="G130" s="7">
        <v>3</v>
      </c>
      <c r="H130" s="8">
        <f t="shared" si="19"/>
        <v>12</v>
      </c>
      <c r="I130" s="6">
        <f>IFERROR(INDEX(TankaData[教材費(標準)],MATCH(E130,TankaData[コース],0)),0)</f>
        <v>6000</v>
      </c>
      <c r="J130" s="6">
        <f t="shared" si="20"/>
        <v>42000</v>
      </c>
      <c r="K130" s="6">
        <f t="shared" si="21"/>
        <v>52800</v>
      </c>
      <c r="L130" t="s">
        <v>320</v>
      </c>
      <c r="M130" s="9" t="s">
        <v>59</v>
      </c>
      <c r="N130" s="10" t="str">
        <f t="shared" si="22"/>
        <v>教室：東校／コース：個別指導／コマ数：12コマ／授業料：42,000円／教材費：6,000円／消費税：4,800円／請求額：52,800円</v>
      </c>
      <c r="O130" t="str">
        <f t="shared" si="23"/>
        <v>127：吉田萌</v>
      </c>
    </row>
    <row r="131" spans="1:15" hidden="1" outlineLevel="1" x14ac:dyDescent="0.2">
      <c r="A131" s="5">
        <f t="shared" si="18"/>
        <v>128</v>
      </c>
      <c r="B131" t="s">
        <v>321</v>
      </c>
      <c r="C131" s="5" t="s">
        <v>207</v>
      </c>
      <c r="D131" s="5" t="s">
        <v>76</v>
      </c>
      <c r="E131" s="5" t="s">
        <v>44</v>
      </c>
      <c r="F131" s="6">
        <f>IFERROR(INDEX(TankaData[1コマ単価],MATCH(E131,TankaData[コース],0)),0)</f>
        <v>2100</v>
      </c>
      <c r="G131" s="7">
        <v>1</v>
      </c>
      <c r="H131" s="8">
        <f t="shared" si="19"/>
        <v>4</v>
      </c>
      <c r="I131" s="6">
        <f>IFERROR(INDEX(TankaData[教材費(標準)],MATCH(E131,TankaData[コース],0)),0)</f>
        <v>3000</v>
      </c>
      <c r="J131" s="6">
        <f t="shared" si="20"/>
        <v>8400</v>
      </c>
      <c r="K131" s="6">
        <f t="shared" si="21"/>
        <v>12540</v>
      </c>
      <c r="L131" t="s">
        <v>322</v>
      </c>
      <c r="M131" s="9" t="s">
        <v>59</v>
      </c>
      <c r="N131" s="10" t="str">
        <f t="shared" si="22"/>
        <v>教室：東校／コース：映像授業／コマ数：4コマ／授業料：8,400円／教材費：3,000円／消費税：1,140円／請求額：12,540円</v>
      </c>
      <c r="O131" t="str">
        <f t="shared" si="23"/>
        <v>128：山本一輝</v>
      </c>
    </row>
    <row r="132" spans="1:15" hidden="1" outlineLevel="1" x14ac:dyDescent="0.2">
      <c r="A132" s="5">
        <f t="shared" ref="A132:A163" si="24">ROW()-3</f>
        <v>129</v>
      </c>
      <c r="B132" t="s">
        <v>323</v>
      </c>
      <c r="C132" s="5" t="s">
        <v>207</v>
      </c>
      <c r="D132" s="5" t="s">
        <v>86</v>
      </c>
      <c r="E132" s="5" t="s">
        <v>43</v>
      </c>
      <c r="F132" s="6">
        <f>IFERROR(INDEX(TankaData[1コマ単価],MATCH(E132,TankaData[コース],0)),0)</f>
        <v>2500</v>
      </c>
      <c r="G132" s="7">
        <v>4</v>
      </c>
      <c r="H132" s="8">
        <f t="shared" ref="H132:H163" si="25">G132*4</f>
        <v>16</v>
      </c>
      <c r="I132" s="6">
        <f>IFERROR(INDEX(TankaData[教材費(標準)],MATCH(E132,TankaData[コース],0)),0)</f>
        <v>4500</v>
      </c>
      <c r="J132" s="6">
        <f t="shared" ref="J132:J163" si="26">F132*H132</f>
        <v>40000</v>
      </c>
      <c r="K132" s="6">
        <f t="shared" ref="K132:K163" si="27">J132+I132+ROUND((J132+I132)*0.1,0)</f>
        <v>48950</v>
      </c>
      <c r="L132" t="s">
        <v>324</v>
      </c>
      <c r="M132" s="9" t="s">
        <v>59</v>
      </c>
      <c r="N132" s="10" t="str">
        <f t="shared" ref="N132:N163" si="28">"教室："&amp;C132&amp;"／コース："&amp;E132&amp;"／コマ数："&amp;H132&amp;"コマ／授業料："&amp;TEXT(J132,"#,##0")&amp;"円／教材費："&amp;TEXT(I132,"#,##0")&amp;"円／消費税："&amp;TEXT(ROUND((J132+I132)*0.1,0),"#,##0")&amp;"円／請求額："&amp;TEXT(K132,"#,##0")&amp;"円"</f>
        <v>教室：東校／コース：集団授業／コマ数：16コマ／授業料：40,000円／教材費：4,500円／消費税：4,450円／請求額：48,950円</v>
      </c>
      <c r="O132" t="str">
        <f t="shared" ref="O132:O163" si="29">A132&amp;"："&amp;B132</f>
        <v>129：坂本凛</v>
      </c>
    </row>
    <row r="133" spans="1:15" hidden="1" outlineLevel="1" x14ac:dyDescent="0.2">
      <c r="A133" s="5">
        <f t="shared" si="24"/>
        <v>130</v>
      </c>
      <c r="B133" t="s">
        <v>325</v>
      </c>
      <c r="C133" s="5" t="s">
        <v>207</v>
      </c>
      <c r="D133" s="5" t="s">
        <v>76</v>
      </c>
      <c r="E133" s="5" t="s">
        <v>44</v>
      </c>
      <c r="F133" s="6">
        <f>IFERROR(INDEX(TankaData[1コマ単価],MATCH(E133,TankaData[コース],0)),0)</f>
        <v>2100</v>
      </c>
      <c r="G133" s="7">
        <v>4</v>
      </c>
      <c r="H133" s="8">
        <f t="shared" si="25"/>
        <v>16</v>
      </c>
      <c r="I133" s="6">
        <f>IFERROR(INDEX(TankaData[教材費(標準)],MATCH(E133,TankaData[コース],0)),0)</f>
        <v>3000</v>
      </c>
      <c r="J133" s="6">
        <f t="shared" si="26"/>
        <v>33600</v>
      </c>
      <c r="K133" s="6">
        <f t="shared" si="27"/>
        <v>40260</v>
      </c>
      <c r="L133" t="s">
        <v>326</v>
      </c>
      <c r="M133" s="9" t="s">
        <v>59</v>
      </c>
      <c r="N133" s="10" t="str">
        <f t="shared" si="28"/>
        <v>教室：東校／コース：映像授業／コマ数：16コマ／授業料：33,600円／教材費：3,000円／消費税：3,660円／請求額：40,260円</v>
      </c>
      <c r="O133" t="str">
        <f t="shared" si="29"/>
        <v>130：佐藤蒼</v>
      </c>
    </row>
    <row r="134" spans="1:15" hidden="1" outlineLevel="1" x14ac:dyDescent="0.2">
      <c r="A134" s="5">
        <f t="shared" si="24"/>
        <v>131</v>
      </c>
      <c r="B134" t="s">
        <v>327</v>
      </c>
      <c r="C134" s="5" t="s">
        <v>328</v>
      </c>
      <c r="D134" s="5" t="s">
        <v>99</v>
      </c>
      <c r="E134" s="5" t="s">
        <v>41</v>
      </c>
      <c r="F134" s="6">
        <f>IFERROR(INDEX(TankaData[1コマ単価],MATCH(E134,TankaData[コース],0)),0)</f>
        <v>4000</v>
      </c>
      <c r="G134" s="7">
        <v>4</v>
      </c>
      <c r="H134" s="8">
        <f t="shared" si="25"/>
        <v>16</v>
      </c>
      <c r="I134" s="6">
        <f>IFERROR(INDEX(TankaData[教材費(標準)],MATCH(E134,TankaData[コース],0)),0)</f>
        <v>7000</v>
      </c>
      <c r="J134" s="6">
        <f t="shared" si="26"/>
        <v>64000</v>
      </c>
      <c r="K134" s="6">
        <f t="shared" si="27"/>
        <v>78100</v>
      </c>
      <c r="L134" t="s">
        <v>329</v>
      </c>
      <c r="M134" s="9" t="s">
        <v>59</v>
      </c>
      <c r="N134" s="10" t="str">
        <f t="shared" si="28"/>
        <v>教室：西校／コース：個別指導S／コマ数：16コマ／授業料：64,000円／教材費：7,000円／消費税：7,100円／請求額：78,100円</v>
      </c>
      <c r="O134" t="str">
        <f t="shared" si="29"/>
        <v>131：前田結翔</v>
      </c>
    </row>
    <row r="135" spans="1:15" hidden="1" outlineLevel="1" x14ac:dyDescent="0.2">
      <c r="A135" s="5">
        <f t="shared" si="24"/>
        <v>132</v>
      </c>
      <c r="B135" t="s">
        <v>330</v>
      </c>
      <c r="C135" s="5" t="s">
        <v>328</v>
      </c>
      <c r="D135" s="5" t="s">
        <v>64</v>
      </c>
      <c r="E135" s="5" t="s">
        <v>43</v>
      </c>
      <c r="F135" s="6">
        <f>IFERROR(INDEX(TankaData[1コマ単価],MATCH(E135,TankaData[コース],0)),0)</f>
        <v>2500</v>
      </c>
      <c r="G135" s="7">
        <v>1</v>
      </c>
      <c r="H135" s="8">
        <f t="shared" si="25"/>
        <v>4</v>
      </c>
      <c r="I135" s="6">
        <f>IFERROR(INDEX(TankaData[教材費(標準)],MATCH(E135,TankaData[コース],0)),0)</f>
        <v>4500</v>
      </c>
      <c r="J135" s="6">
        <f t="shared" si="26"/>
        <v>10000</v>
      </c>
      <c r="K135" s="6">
        <f t="shared" si="27"/>
        <v>15950</v>
      </c>
      <c r="L135" t="s">
        <v>331</v>
      </c>
      <c r="M135" s="9" t="s">
        <v>59</v>
      </c>
      <c r="N135" s="10" t="str">
        <f t="shared" si="28"/>
        <v>教室：西校／コース：集団授業／コマ数：4コマ／授業料：10,000円／教材費：4,500円／消費税：1,450円／請求額：15,950円</v>
      </c>
      <c r="O135" t="str">
        <f t="shared" si="29"/>
        <v>132：竹内蒼</v>
      </c>
    </row>
    <row r="136" spans="1:15" hidden="1" outlineLevel="1" x14ac:dyDescent="0.2">
      <c r="A136" s="5">
        <f t="shared" si="24"/>
        <v>133</v>
      </c>
      <c r="B136" t="s">
        <v>332</v>
      </c>
      <c r="C136" s="5" t="s">
        <v>328</v>
      </c>
      <c r="D136" s="5" t="s">
        <v>99</v>
      </c>
      <c r="E136" s="5" t="s">
        <v>42</v>
      </c>
      <c r="F136" s="6">
        <f>IFERROR(INDEX(TankaData[1コマ単価],MATCH(E136,TankaData[コース],0)),0)</f>
        <v>3500</v>
      </c>
      <c r="G136" s="7">
        <v>5</v>
      </c>
      <c r="H136" s="8">
        <f t="shared" si="25"/>
        <v>20</v>
      </c>
      <c r="I136" s="6">
        <f>IFERROR(INDEX(TankaData[教材費(標準)],MATCH(E136,TankaData[コース],0)),0)</f>
        <v>6000</v>
      </c>
      <c r="J136" s="6">
        <f t="shared" si="26"/>
        <v>70000</v>
      </c>
      <c r="K136" s="6">
        <f t="shared" si="27"/>
        <v>83600</v>
      </c>
      <c r="L136" t="s">
        <v>333</v>
      </c>
      <c r="M136" s="9" t="s">
        <v>59</v>
      </c>
      <c r="N136" s="10" t="str">
        <f t="shared" si="28"/>
        <v>教室：西校／コース：個別指導／コマ数：20コマ／授業料：70,000円／教材費：6,000円／消費税：7,600円／請求額：83,600円</v>
      </c>
      <c r="O136" t="str">
        <f t="shared" si="29"/>
        <v>133：加藤葵</v>
      </c>
    </row>
    <row r="137" spans="1:15" hidden="1" outlineLevel="1" x14ac:dyDescent="0.2">
      <c r="A137" s="5">
        <f t="shared" si="24"/>
        <v>134</v>
      </c>
      <c r="B137" t="s">
        <v>334</v>
      </c>
      <c r="C137" s="5" t="s">
        <v>328</v>
      </c>
      <c r="D137" s="5" t="s">
        <v>57</v>
      </c>
      <c r="E137" s="5" t="s">
        <v>43</v>
      </c>
      <c r="F137" s="6">
        <f>IFERROR(INDEX(TankaData[1コマ単価],MATCH(E137,TankaData[コース],0)),0)</f>
        <v>2500</v>
      </c>
      <c r="G137" s="7">
        <v>5</v>
      </c>
      <c r="H137" s="8">
        <f t="shared" si="25"/>
        <v>20</v>
      </c>
      <c r="I137" s="6">
        <f>IFERROR(INDEX(TankaData[教材費(標準)],MATCH(E137,TankaData[コース],0)),0)</f>
        <v>4500</v>
      </c>
      <c r="J137" s="6">
        <f t="shared" si="26"/>
        <v>50000</v>
      </c>
      <c r="K137" s="6">
        <f t="shared" si="27"/>
        <v>59950</v>
      </c>
      <c r="L137" t="s">
        <v>335</v>
      </c>
      <c r="M137" s="9" t="s">
        <v>59</v>
      </c>
      <c r="N137" s="10" t="str">
        <f t="shared" si="28"/>
        <v>教室：西校／コース：集団授業／コマ数：20コマ／授業料：50,000円／教材費：4,500円／消費税：5,450円／請求額：59,950円</v>
      </c>
      <c r="O137" t="str">
        <f t="shared" si="29"/>
        <v>134：佐藤萌</v>
      </c>
    </row>
    <row r="138" spans="1:15" hidden="1" outlineLevel="1" x14ac:dyDescent="0.2">
      <c r="A138" s="5">
        <f t="shared" si="24"/>
        <v>135</v>
      </c>
      <c r="B138" t="s">
        <v>336</v>
      </c>
      <c r="C138" s="5" t="s">
        <v>328</v>
      </c>
      <c r="D138" s="5" t="s">
        <v>57</v>
      </c>
      <c r="E138" s="5" t="s">
        <v>42</v>
      </c>
      <c r="F138" s="6">
        <f>IFERROR(INDEX(TankaData[1コマ単価],MATCH(E138,TankaData[コース],0)),0)</f>
        <v>3500</v>
      </c>
      <c r="G138" s="7">
        <v>4</v>
      </c>
      <c r="H138" s="8">
        <f t="shared" si="25"/>
        <v>16</v>
      </c>
      <c r="I138" s="6">
        <f>IFERROR(INDEX(TankaData[教材費(標準)],MATCH(E138,TankaData[コース],0)),0)</f>
        <v>6000</v>
      </c>
      <c r="J138" s="6">
        <f t="shared" si="26"/>
        <v>56000</v>
      </c>
      <c r="K138" s="6">
        <f t="shared" si="27"/>
        <v>68200</v>
      </c>
      <c r="L138" t="s">
        <v>337</v>
      </c>
      <c r="M138" s="9" t="s">
        <v>59</v>
      </c>
      <c r="N138" s="10" t="str">
        <f t="shared" si="28"/>
        <v>教室：西校／コース：個別指導／コマ数：16コマ／授業料：56,000円／教材費：6,000円／消費税：6,200円／請求額：68,200円</v>
      </c>
      <c r="O138" t="str">
        <f t="shared" si="29"/>
        <v>135：阿部花音</v>
      </c>
    </row>
    <row r="139" spans="1:15" hidden="1" outlineLevel="1" x14ac:dyDescent="0.2">
      <c r="A139" s="5">
        <f t="shared" si="24"/>
        <v>136</v>
      </c>
      <c r="B139" t="s">
        <v>338</v>
      </c>
      <c r="C139" s="5" t="s">
        <v>328</v>
      </c>
      <c r="D139" s="5" t="s">
        <v>67</v>
      </c>
      <c r="E139" s="5" t="s">
        <v>44</v>
      </c>
      <c r="F139" s="6">
        <f>IFERROR(INDEX(TankaData[1コマ単価],MATCH(E139,TankaData[コース],0)),0)</f>
        <v>2100</v>
      </c>
      <c r="G139" s="7">
        <v>3</v>
      </c>
      <c r="H139" s="8">
        <f t="shared" si="25"/>
        <v>12</v>
      </c>
      <c r="I139" s="6">
        <f>IFERROR(INDEX(TankaData[教材費(標準)],MATCH(E139,TankaData[コース],0)),0)</f>
        <v>3000</v>
      </c>
      <c r="J139" s="6">
        <f t="shared" si="26"/>
        <v>25200</v>
      </c>
      <c r="K139" s="6">
        <f t="shared" si="27"/>
        <v>31020</v>
      </c>
      <c r="L139" t="s">
        <v>339</v>
      </c>
      <c r="M139" s="9" t="s">
        <v>59</v>
      </c>
      <c r="N139" s="10" t="str">
        <f t="shared" si="28"/>
        <v>教室：西校／コース：映像授業／コマ数：12コマ／授業料：25,200円／教材費：3,000円／消費税：2,820円／請求額：31,020円</v>
      </c>
      <c r="O139" t="str">
        <f t="shared" si="29"/>
        <v>136：近藤大和</v>
      </c>
    </row>
    <row r="140" spans="1:15" hidden="1" outlineLevel="1" x14ac:dyDescent="0.2">
      <c r="A140" s="5">
        <f t="shared" si="24"/>
        <v>137</v>
      </c>
      <c r="B140" t="s">
        <v>340</v>
      </c>
      <c r="C140" s="5" t="s">
        <v>328</v>
      </c>
      <c r="D140" s="5" t="s">
        <v>114</v>
      </c>
      <c r="E140" s="5" t="s">
        <v>44</v>
      </c>
      <c r="F140" s="6">
        <f>IFERROR(INDEX(TankaData[1コマ単価],MATCH(E140,TankaData[コース],0)),0)</f>
        <v>2100</v>
      </c>
      <c r="G140" s="7">
        <v>4</v>
      </c>
      <c r="H140" s="8">
        <f t="shared" si="25"/>
        <v>16</v>
      </c>
      <c r="I140" s="6">
        <f>IFERROR(INDEX(TankaData[教材費(標準)],MATCH(E140,TankaData[コース],0)),0)</f>
        <v>3000</v>
      </c>
      <c r="J140" s="6">
        <f t="shared" si="26"/>
        <v>33600</v>
      </c>
      <c r="K140" s="6">
        <f t="shared" si="27"/>
        <v>40260</v>
      </c>
      <c r="L140" t="s">
        <v>341</v>
      </c>
      <c r="M140" s="9" t="s">
        <v>59</v>
      </c>
      <c r="N140" s="10" t="str">
        <f t="shared" si="28"/>
        <v>教室：西校／コース：映像授業／コマ数：16コマ／授業料：33,600円／教材費：3,000円／消費税：3,660円／請求額：40,260円</v>
      </c>
      <c r="O140" t="str">
        <f t="shared" si="29"/>
        <v>137：田村陽向</v>
      </c>
    </row>
    <row r="141" spans="1:15" hidden="1" outlineLevel="1" x14ac:dyDescent="0.2">
      <c r="A141" s="5">
        <f t="shared" si="24"/>
        <v>138</v>
      </c>
      <c r="B141" t="s">
        <v>342</v>
      </c>
      <c r="C141" s="5" t="s">
        <v>328</v>
      </c>
      <c r="D141" s="5" t="s">
        <v>99</v>
      </c>
      <c r="E141" s="5" t="s">
        <v>44</v>
      </c>
      <c r="F141" s="6">
        <f>IFERROR(INDEX(TankaData[1コマ単価],MATCH(E141,TankaData[コース],0)),0)</f>
        <v>2100</v>
      </c>
      <c r="G141" s="7">
        <v>3</v>
      </c>
      <c r="H141" s="8">
        <f t="shared" si="25"/>
        <v>12</v>
      </c>
      <c r="I141" s="6">
        <f>IFERROR(INDEX(TankaData[教材費(標準)],MATCH(E141,TankaData[コース],0)),0)</f>
        <v>3000</v>
      </c>
      <c r="J141" s="6">
        <f t="shared" si="26"/>
        <v>25200</v>
      </c>
      <c r="K141" s="6">
        <f t="shared" si="27"/>
        <v>31020</v>
      </c>
      <c r="L141" t="s">
        <v>343</v>
      </c>
      <c r="M141" s="9" t="s">
        <v>59</v>
      </c>
      <c r="N141" s="10" t="str">
        <f t="shared" si="28"/>
        <v>教室：西校／コース：映像授業／コマ数：12コマ／授業料：25,200円／教材費：3,000円／消費税：2,820円／請求額：31,020円</v>
      </c>
      <c r="O141" t="str">
        <f t="shared" si="29"/>
        <v>138：岡本美結</v>
      </c>
    </row>
    <row r="142" spans="1:15" hidden="1" outlineLevel="1" x14ac:dyDescent="0.2">
      <c r="A142" s="5">
        <f t="shared" si="24"/>
        <v>139</v>
      </c>
      <c r="B142" t="s">
        <v>344</v>
      </c>
      <c r="C142" s="5" t="s">
        <v>328</v>
      </c>
      <c r="D142" s="5" t="s">
        <v>61</v>
      </c>
      <c r="E142" s="5" t="s">
        <v>43</v>
      </c>
      <c r="F142" s="6">
        <f>IFERROR(INDEX(TankaData[1コマ単価],MATCH(E142,TankaData[コース],0)),0)</f>
        <v>2500</v>
      </c>
      <c r="G142" s="7">
        <v>3</v>
      </c>
      <c r="H142" s="8">
        <f t="shared" si="25"/>
        <v>12</v>
      </c>
      <c r="I142" s="6">
        <f>IFERROR(INDEX(TankaData[教材費(標準)],MATCH(E142,TankaData[コース],0)),0)</f>
        <v>4500</v>
      </c>
      <c r="J142" s="6">
        <f t="shared" si="26"/>
        <v>30000</v>
      </c>
      <c r="K142" s="6">
        <f t="shared" si="27"/>
        <v>37950</v>
      </c>
      <c r="L142" t="s">
        <v>345</v>
      </c>
      <c r="M142" s="9" t="s">
        <v>59</v>
      </c>
      <c r="N142" s="10" t="str">
        <f t="shared" si="28"/>
        <v>教室：西校／コース：集団授業／コマ数：12コマ／授業料：30,000円／教材費：4,500円／消費税：3,450円／請求額：37,950円</v>
      </c>
      <c r="O142" t="str">
        <f t="shared" si="29"/>
        <v>139：森花音</v>
      </c>
    </row>
    <row r="143" spans="1:15" hidden="1" outlineLevel="1" x14ac:dyDescent="0.2">
      <c r="A143" s="5">
        <f t="shared" si="24"/>
        <v>140</v>
      </c>
      <c r="B143" t="s">
        <v>346</v>
      </c>
      <c r="C143" s="5" t="s">
        <v>328</v>
      </c>
      <c r="D143" s="5" t="s">
        <v>99</v>
      </c>
      <c r="E143" s="5" t="s">
        <v>42</v>
      </c>
      <c r="F143" s="6">
        <f>IFERROR(INDEX(TankaData[1コマ単価],MATCH(E143,TankaData[コース],0)),0)</f>
        <v>3500</v>
      </c>
      <c r="G143" s="7">
        <v>3</v>
      </c>
      <c r="H143" s="8">
        <f t="shared" si="25"/>
        <v>12</v>
      </c>
      <c r="I143" s="6">
        <f>IFERROR(INDEX(TankaData[教材費(標準)],MATCH(E143,TankaData[コース],0)),0)</f>
        <v>6000</v>
      </c>
      <c r="J143" s="6">
        <f t="shared" si="26"/>
        <v>42000</v>
      </c>
      <c r="K143" s="6">
        <f t="shared" si="27"/>
        <v>52800</v>
      </c>
      <c r="L143" t="s">
        <v>347</v>
      </c>
      <c r="M143" s="9" t="s">
        <v>59</v>
      </c>
      <c r="N143" s="10" t="str">
        <f t="shared" si="28"/>
        <v>教室：西校／コース：個別指導／コマ数：12コマ／授業料：42,000円／教材費：6,000円／消費税：4,800円／請求額：52,800円</v>
      </c>
      <c r="O143" t="str">
        <f t="shared" si="29"/>
        <v>140：太田優奈</v>
      </c>
    </row>
    <row r="144" spans="1:15" hidden="1" outlineLevel="1" x14ac:dyDescent="0.2">
      <c r="A144" s="5">
        <f t="shared" si="24"/>
        <v>141</v>
      </c>
      <c r="B144" t="s">
        <v>348</v>
      </c>
      <c r="C144" s="5" t="s">
        <v>328</v>
      </c>
      <c r="D144" s="5" t="s">
        <v>61</v>
      </c>
      <c r="E144" s="5" t="s">
        <v>44</v>
      </c>
      <c r="F144" s="6">
        <f>IFERROR(INDEX(TankaData[1コマ単価],MATCH(E144,TankaData[コース],0)),0)</f>
        <v>2100</v>
      </c>
      <c r="G144" s="7">
        <v>3</v>
      </c>
      <c r="H144" s="8">
        <f t="shared" si="25"/>
        <v>12</v>
      </c>
      <c r="I144" s="6">
        <f>IFERROR(INDEX(TankaData[教材費(標準)],MATCH(E144,TankaData[コース],0)),0)</f>
        <v>3000</v>
      </c>
      <c r="J144" s="6">
        <f t="shared" si="26"/>
        <v>25200</v>
      </c>
      <c r="K144" s="6">
        <f t="shared" si="27"/>
        <v>31020</v>
      </c>
      <c r="L144" t="s">
        <v>349</v>
      </c>
      <c r="M144" s="9" t="s">
        <v>59</v>
      </c>
      <c r="N144" s="10" t="str">
        <f t="shared" si="28"/>
        <v>教室：西校／コース：映像授業／コマ数：12コマ／授業料：25,200円／教材費：3,000円／消費税：2,820円／請求額：31,020円</v>
      </c>
      <c r="O144" t="str">
        <f t="shared" si="29"/>
        <v>141：山本美月</v>
      </c>
    </row>
    <row r="145" spans="1:15" hidden="1" outlineLevel="1" x14ac:dyDescent="0.2">
      <c r="A145" s="5">
        <f t="shared" si="24"/>
        <v>142</v>
      </c>
      <c r="B145" t="s">
        <v>350</v>
      </c>
      <c r="C145" s="5" t="s">
        <v>328</v>
      </c>
      <c r="D145" s="5" t="s">
        <v>61</v>
      </c>
      <c r="E145" s="5" t="s">
        <v>41</v>
      </c>
      <c r="F145" s="6">
        <f>IFERROR(INDEX(TankaData[1コマ単価],MATCH(E145,TankaData[コース],0)),0)</f>
        <v>4000</v>
      </c>
      <c r="G145" s="7">
        <v>4</v>
      </c>
      <c r="H145" s="8">
        <f t="shared" si="25"/>
        <v>16</v>
      </c>
      <c r="I145" s="6">
        <f>IFERROR(INDEX(TankaData[教材費(標準)],MATCH(E145,TankaData[コース],0)),0)</f>
        <v>7000</v>
      </c>
      <c r="J145" s="6">
        <f t="shared" si="26"/>
        <v>64000</v>
      </c>
      <c r="K145" s="6">
        <f t="shared" si="27"/>
        <v>78100</v>
      </c>
      <c r="L145" t="s">
        <v>351</v>
      </c>
      <c r="M145" s="9" t="s">
        <v>59</v>
      </c>
      <c r="N145" s="10" t="str">
        <f t="shared" si="28"/>
        <v>教室：西校／コース：個別指導S／コマ数：16コマ／授業料：64,000円／教材費：7,000円／消費税：7,100円／請求額：78,100円</v>
      </c>
      <c r="O145" t="str">
        <f t="shared" si="29"/>
        <v>142：木村心春</v>
      </c>
    </row>
    <row r="146" spans="1:15" hidden="1" outlineLevel="1" x14ac:dyDescent="0.2">
      <c r="A146" s="5">
        <f t="shared" si="24"/>
        <v>143</v>
      </c>
      <c r="B146" t="s">
        <v>352</v>
      </c>
      <c r="C146" s="5" t="s">
        <v>328</v>
      </c>
      <c r="D146" s="5" t="s">
        <v>99</v>
      </c>
      <c r="E146" s="5" t="s">
        <v>43</v>
      </c>
      <c r="F146" s="6">
        <f>IFERROR(INDEX(TankaData[1コマ単価],MATCH(E146,TankaData[コース],0)),0)</f>
        <v>2500</v>
      </c>
      <c r="G146" s="7">
        <v>3</v>
      </c>
      <c r="H146" s="8">
        <f t="shared" si="25"/>
        <v>12</v>
      </c>
      <c r="I146" s="6">
        <f>IFERROR(INDEX(TankaData[教材費(標準)],MATCH(E146,TankaData[コース],0)),0)</f>
        <v>4500</v>
      </c>
      <c r="J146" s="6">
        <f t="shared" si="26"/>
        <v>30000</v>
      </c>
      <c r="K146" s="6">
        <f t="shared" si="27"/>
        <v>37950</v>
      </c>
      <c r="L146" t="s">
        <v>353</v>
      </c>
      <c r="M146" s="9" t="s">
        <v>59</v>
      </c>
      <c r="N146" s="10" t="str">
        <f t="shared" si="28"/>
        <v>教室：西校／コース：集団授業／コマ数：12コマ／授業料：30,000円／教材費：4,500円／消費税：3,450円／請求額：37,950円</v>
      </c>
      <c r="O146" t="str">
        <f t="shared" si="29"/>
        <v>143：山口朝陽</v>
      </c>
    </row>
    <row r="147" spans="1:15" hidden="1" outlineLevel="1" x14ac:dyDescent="0.2">
      <c r="A147" s="5">
        <f t="shared" si="24"/>
        <v>144</v>
      </c>
      <c r="B147" t="s">
        <v>354</v>
      </c>
      <c r="C147" s="5" t="s">
        <v>328</v>
      </c>
      <c r="D147" s="5" t="s">
        <v>64</v>
      </c>
      <c r="E147" s="5" t="s">
        <v>41</v>
      </c>
      <c r="F147" s="6">
        <f>IFERROR(INDEX(TankaData[1コマ単価],MATCH(E147,TankaData[コース],0)),0)</f>
        <v>4000</v>
      </c>
      <c r="G147" s="7">
        <v>4</v>
      </c>
      <c r="H147" s="8">
        <f t="shared" si="25"/>
        <v>16</v>
      </c>
      <c r="I147" s="6">
        <f>IFERROR(INDEX(TankaData[教材費(標準)],MATCH(E147,TankaData[コース],0)),0)</f>
        <v>7000</v>
      </c>
      <c r="J147" s="6">
        <f t="shared" si="26"/>
        <v>64000</v>
      </c>
      <c r="K147" s="6">
        <f t="shared" si="27"/>
        <v>78100</v>
      </c>
      <c r="L147" t="s">
        <v>355</v>
      </c>
      <c r="M147" s="9" t="s">
        <v>59</v>
      </c>
      <c r="N147" s="10" t="str">
        <f t="shared" si="28"/>
        <v>教室：西校／コース：個別指導S／コマ数：16コマ／授業料：64,000円／教材費：7,000円／消費税：7,100円／請求額：78,100円</v>
      </c>
      <c r="O147" t="str">
        <f t="shared" si="29"/>
        <v>144：伊藤楓</v>
      </c>
    </row>
    <row r="148" spans="1:15" hidden="1" outlineLevel="1" x14ac:dyDescent="0.2">
      <c r="A148" s="5">
        <f t="shared" si="24"/>
        <v>145</v>
      </c>
      <c r="B148" t="s">
        <v>356</v>
      </c>
      <c r="C148" s="5" t="s">
        <v>328</v>
      </c>
      <c r="D148" s="5" t="s">
        <v>67</v>
      </c>
      <c r="E148" s="5" t="s">
        <v>41</v>
      </c>
      <c r="F148" s="6">
        <f>IFERROR(INDEX(TankaData[1コマ単価],MATCH(E148,TankaData[コース],0)),0)</f>
        <v>4000</v>
      </c>
      <c r="G148" s="7">
        <v>5</v>
      </c>
      <c r="H148" s="8">
        <f t="shared" si="25"/>
        <v>20</v>
      </c>
      <c r="I148" s="6">
        <f>IFERROR(INDEX(TankaData[教材費(標準)],MATCH(E148,TankaData[コース],0)),0)</f>
        <v>7000</v>
      </c>
      <c r="J148" s="6">
        <f t="shared" si="26"/>
        <v>80000</v>
      </c>
      <c r="K148" s="6">
        <f t="shared" si="27"/>
        <v>95700</v>
      </c>
      <c r="L148" t="s">
        <v>357</v>
      </c>
      <c r="M148" s="9" t="s">
        <v>59</v>
      </c>
      <c r="N148" s="10" t="str">
        <f t="shared" si="28"/>
        <v>教室：西校／コース：個別指導S／コマ数：20コマ／授業料：80,000円／教材費：7,000円／消費税：8,700円／請求額：95,700円</v>
      </c>
      <c r="O148" t="str">
        <f t="shared" si="29"/>
        <v>145：斎藤一輝</v>
      </c>
    </row>
    <row r="149" spans="1:15" hidden="1" outlineLevel="1" x14ac:dyDescent="0.2">
      <c r="A149" s="5">
        <f t="shared" si="24"/>
        <v>146</v>
      </c>
      <c r="B149" t="s">
        <v>358</v>
      </c>
      <c r="C149" s="5" t="s">
        <v>328</v>
      </c>
      <c r="D149" s="5" t="s">
        <v>86</v>
      </c>
      <c r="E149" s="5" t="s">
        <v>44</v>
      </c>
      <c r="F149" s="6">
        <f>IFERROR(INDEX(TankaData[1コマ単価],MATCH(E149,TankaData[コース],0)),0)</f>
        <v>2100</v>
      </c>
      <c r="G149" s="7">
        <v>1</v>
      </c>
      <c r="H149" s="8">
        <f t="shared" si="25"/>
        <v>4</v>
      </c>
      <c r="I149" s="6">
        <f>IFERROR(INDEX(TankaData[教材費(標準)],MATCH(E149,TankaData[コース],0)),0)</f>
        <v>3000</v>
      </c>
      <c r="J149" s="6">
        <f t="shared" si="26"/>
        <v>8400</v>
      </c>
      <c r="K149" s="6">
        <f t="shared" si="27"/>
        <v>12540</v>
      </c>
      <c r="L149" t="s">
        <v>359</v>
      </c>
      <c r="M149" s="9" t="s">
        <v>59</v>
      </c>
      <c r="N149" s="10" t="str">
        <f t="shared" si="28"/>
        <v>教室：西校／コース：映像授業／コマ数：4コマ／授業料：8,400円／教材費：3,000円／消費税：1,140円／請求額：12,540円</v>
      </c>
      <c r="O149" t="str">
        <f t="shared" si="29"/>
        <v>146：遠藤大和</v>
      </c>
    </row>
    <row r="150" spans="1:15" hidden="1" outlineLevel="1" x14ac:dyDescent="0.2">
      <c r="A150" s="5">
        <f t="shared" si="24"/>
        <v>147</v>
      </c>
      <c r="B150" t="s">
        <v>360</v>
      </c>
      <c r="C150" s="5" t="s">
        <v>328</v>
      </c>
      <c r="D150" s="5" t="s">
        <v>81</v>
      </c>
      <c r="E150" s="5" t="s">
        <v>43</v>
      </c>
      <c r="F150" s="6">
        <f>IFERROR(INDEX(TankaData[1コマ単価],MATCH(E150,TankaData[コース],0)),0)</f>
        <v>2500</v>
      </c>
      <c r="G150" s="7">
        <v>5</v>
      </c>
      <c r="H150" s="8">
        <f t="shared" si="25"/>
        <v>20</v>
      </c>
      <c r="I150" s="6">
        <f>IFERROR(INDEX(TankaData[教材費(標準)],MATCH(E150,TankaData[コース],0)),0)</f>
        <v>4500</v>
      </c>
      <c r="J150" s="6">
        <f t="shared" si="26"/>
        <v>50000</v>
      </c>
      <c r="K150" s="6">
        <f t="shared" si="27"/>
        <v>59950</v>
      </c>
      <c r="L150" t="s">
        <v>361</v>
      </c>
      <c r="M150" s="9" t="s">
        <v>59</v>
      </c>
      <c r="N150" s="10" t="str">
        <f t="shared" si="28"/>
        <v>教室：西校／コース：集団授業／コマ数：20コマ／授業料：50,000円／教材費：4,500円／消費税：5,450円／請求額：59,950円</v>
      </c>
      <c r="O150" t="str">
        <f t="shared" si="29"/>
        <v>147：金子心春</v>
      </c>
    </row>
    <row r="151" spans="1:15" hidden="1" outlineLevel="1" x14ac:dyDescent="0.2">
      <c r="A151" s="5">
        <f t="shared" si="24"/>
        <v>148</v>
      </c>
      <c r="B151" t="s">
        <v>362</v>
      </c>
      <c r="C151" s="5" t="s">
        <v>328</v>
      </c>
      <c r="D151" s="5" t="s">
        <v>86</v>
      </c>
      <c r="E151" s="5" t="s">
        <v>44</v>
      </c>
      <c r="F151" s="6">
        <f>IFERROR(INDEX(TankaData[1コマ単価],MATCH(E151,TankaData[コース],0)),0)</f>
        <v>2100</v>
      </c>
      <c r="G151" s="7">
        <v>1</v>
      </c>
      <c r="H151" s="8">
        <f t="shared" si="25"/>
        <v>4</v>
      </c>
      <c r="I151" s="6">
        <f>IFERROR(INDEX(TankaData[教材費(標準)],MATCH(E151,TankaData[コース],0)),0)</f>
        <v>3000</v>
      </c>
      <c r="J151" s="6">
        <f t="shared" si="26"/>
        <v>8400</v>
      </c>
      <c r="K151" s="6">
        <f t="shared" si="27"/>
        <v>12540</v>
      </c>
      <c r="L151" t="s">
        <v>363</v>
      </c>
      <c r="M151" s="9" t="s">
        <v>59</v>
      </c>
      <c r="N151" s="10" t="str">
        <f t="shared" si="28"/>
        <v>教室：西校／コース：映像授業／コマ数：4コマ／授業料：8,400円／教材費：3,000円／消費税：1,140円／請求額：12,540円</v>
      </c>
      <c r="O151" t="str">
        <f t="shared" si="29"/>
        <v>148：田中美桜</v>
      </c>
    </row>
    <row r="152" spans="1:15" hidden="1" outlineLevel="1" x14ac:dyDescent="0.2">
      <c r="A152" s="5">
        <f t="shared" si="24"/>
        <v>149</v>
      </c>
      <c r="B152" t="s">
        <v>364</v>
      </c>
      <c r="C152" s="5" t="s">
        <v>328</v>
      </c>
      <c r="D152" s="5" t="s">
        <v>81</v>
      </c>
      <c r="E152" s="5" t="s">
        <v>43</v>
      </c>
      <c r="F152" s="6">
        <f>IFERROR(INDEX(TankaData[1コマ単価],MATCH(E152,TankaData[コース],0)),0)</f>
        <v>2500</v>
      </c>
      <c r="G152" s="7">
        <v>5</v>
      </c>
      <c r="H152" s="8">
        <f t="shared" si="25"/>
        <v>20</v>
      </c>
      <c r="I152" s="6">
        <f>IFERROR(INDEX(TankaData[教材費(標準)],MATCH(E152,TankaData[コース],0)),0)</f>
        <v>4500</v>
      </c>
      <c r="J152" s="6">
        <f t="shared" si="26"/>
        <v>50000</v>
      </c>
      <c r="K152" s="6">
        <f t="shared" si="27"/>
        <v>59950</v>
      </c>
      <c r="L152" t="s">
        <v>365</v>
      </c>
      <c r="M152" s="9" t="s">
        <v>59</v>
      </c>
      <c r="N152" s="10" t="str">
        <f t="shared" si="28"/>
        <v>教室：西校／コース：集団授業／コマ数：20コマ／授業料：50,000円／教材費：4,500円／消費税：5,450円／請求額：59,950円</v>
      </c>
      <c r="O152" t="str">
        <f t="shared" si="29"/>
        <v>149：小野湊</v>
      </c>
    </row>
    <row r="153" spans="1:15" hidden="1" outlineLevel="1" x14ac:dyDescent="0.2">
      <c r="A153" s="5">
        <f t="shared" si="24"/>
        <v>150</v>
      </c>
      <c r="B153" t="s">
        <v>366</v>
      </c>
      <c r="C153" s="5" t="s">
        <v>328</v>
      </c>
      <c r="D153" s="5" t="s">
        <v>114</v>
      </c>
      <c r="E153" s="5" t="s">
        <v>43</v>
      </c>
      <c r="F153" s="6">
        <f>IFERROR(INDEX(TankaData[1コマ単価],MATCH(E153,TankaData[コース],0)),0)</f>
        <v>2500</v>
      </c>
      <c r="G153" s="7">
        <v>4</v>
      </c>
      <c r="H153" s="8">
        <f t="shared" si="25"/>
        <v>16</v>
      </c>
      <c r="I153" s="6">
        <f>IFERROR(INDEX(TankaData[教材費(標準)],MATCH(E153,TankaData[コース],0)),0)</f>
        <v>4500</v>
      </c>
      <c r="J153" s="6">
        <f t="shared" si="26"/>
        <v>40000</v>
      </c>
      <c r="K153" s="6">
        <f t="shared" si="27"/>
        <v>48950</v>
      </c>
      <c r="L153" t="s">
        <v>367</v>
      </c>
      <c r="M153" s="9" t="s">
        <v>59</v>
      </c>
      <c r="N153" s="10" t="str">
        <f t="shared" si="28"/>
        <v>教室：西校／コース：集団授業／コマ数：16コマ／授業料：40,000円／教材費：4,500円／消費税：4,450円／請求額：48,950円</v>
      </c>
      <c r="O153" t="str">
        <f t="shared" si="29"/>
        <v>150：石井琴音</v>
      </c>
    </row>
    <row r="154" spans="1:15" hidden="1" outlineLevel="1" x14ac:dyDescent="0.2">
      <c r="A154" s="5">
        <f t="shared" si="24"/>
        <v>151</v>
      </c>
      <c r="B154" t="s">
        <v>368</v>
      </c>
      <c r="C154" s="5" t="s">
        <v>328</v>
      </c>
      <c r="D154" s="5" t="s">
        <v>86</v>
      </c>
      <c r="E154" s="5" t="s">
        <v>41</v>
      </c>
      <c r="F154" s="6">
        <f>IFERROR(INDEX(TankaData[1コマ単価],MATCH(E154,TankaData[コース],0)),0)</f>
        <v>4000</v>
      </c>
      <c r="G154" s="7">
        <v>1</v>
      </c>
      <c r="H154" s="8">
        <f t="shared" si="25"/>
        <v>4</v>
      </c>
      <c r="I154" s="6">
        <f>IFERROR(INDEX(TankaData[教材費(標準)],MATCH(E154,TankaData[コース],0)),0)</f>
        <v>7000</v>
      </c>
      <c r="J154" s="6">
        <f t="shared" si="26"/>
        <v>16000</v>
      </c>
      <c r="K154" s="6">
        <f t="shared" si="27"/>
        <v>25300</v>
      </c>
      <c r="L154" t="s">
        <v>369</v>
      </c>
      <c r="M154" s="9" t="s">
        <v>59</v>
      </c>
      <c r="N154" s="10" t="str">
        <f t="shared" si="28"/>
        <v>教室：西校／コース：個別指導S／コマ数：4コマ／授業料：16,000円／教材費：7,000円／消費税：2,300円／請求額：25,300円</v>
      </c>
      <c r="O154" t="str">
        <f t="shared" si="29"/>
        <v>151：近藤大翔</v>
      </c>
    </row>
    <row r="155" spans="1:15" hidden="1" outlineLevel="1" x14ac:dyDescent="0.2">
      <c r="A155" s="5">
        <f t="shared" si="24"/>
        <v>152</v>
      </c>
      <c r="B155" t="s">
        <v>370</v>
      </c>
      <c r="C155" s="5" t="s">
        <v>328</v>
      </c>
      <c r="D155" s="5" t="s">
        <v>81</v>
      </c>
      <c r="E155" s="5" t="s">
        <v>42</v>
      </c>
      <c r="F155" s="6">
        <f>IFERROR(INDEX(TankaData[1コマ単価],MATCH(E155,TankaData[コース],0)),0)</f>
        <v>3500</v>
      </c>
      <c r="G155" s="7">
        <v>3</v>
      </c>
      <c r="H155" s="8">
        <f t="shared" si="25"/>
        <v>12</v>
      </c>
      <c r="I155" s="6">
        <f>IFERROR(INDEX(TankaData[教材費(標準)],MATCH(E155,TankaData[コース],0)),0)</f>
        <v>6000</v>
      </c>
      <c r="J155" s="6">
        <f t="shared" si="26"/>
        <v>42000</v>
      </c>
      <c r="K155" s="6">
        <f t="shared" si="27"/>
        <v>52800</v>
      </c>
      <c r="L155" t="s">
        <v>371</v>
      </c>
      <c r="M155" s="9" t="s">
        <v>59</v>
      </c>
      <c r="N155" s="10" t="str">
        <f t="shared" si="28"/>
        <v>教室：西校／コース：個別指導／コマ数：12コマ／授業料：42,000円／教材費：6,000円／消費税：4,800円／請求額：52,800円</v>
      </c>
      <c r="O155" t="str">
        <f t="shared" si="29"/>
        <v>152：佐藤悠真</v>
      </c>
    </row>
    <row r="156" spans="1:15" hidden="1" outlineLevel="1" x14ac:dyDescent="0.2">
      <c r="A156" s="5">
        <f t="shared" si="24"/>
        <v>153</v>
      </c>
      <c r="B156" t="s">
        <v>372</v>
      </c>
      <c r="C156" s="5" t="s">
        <v>328</v>
      </c>
      <c r="D156" s="5" t="s">
        <v>67</v>
      </c>
      <c r="E156" s="5" t="s">
        <v>41</v>
      </c>
      <c r="F156" s="6">
        <f>IFERROR(INDEX(TankaData[1コマ単価],MATCH(E156,TankaData[コース],0)),0)</f>
        <v>4000</v>
      </c>
      <c r="G156" s="7">
        <v>5</v>
      </c>
      <c r="H156" s="8">
        <f t="shared" si="25"/>
        <v>20</v>
      </c>
      <c r="I156" s="6">
        <f>IFERROR(INDEX(TankaData[教材費(標準)],MATCH(E156,TankaData[コース],0)),0)</f>
        <v>7000</v>
      </c>
      <c r="J156" s="6">
        <f t="shared" si="26"/>
        <v>80000</v>
      </c>
      <c r="K156" s="6">
        <f t="shared" si="27"/>
        <v>95700</v>
      </c>
      <c r="L156" t="s">
        <v>373</v>
      </c>
      <c r="M156" s="9" t="s">
        <v>59</v>
      </c>
      <c r="N156" s="10" t="str">
        <f t="shared" si="28"/>
        <v>教室：西校／コース：個別指導S／コマ数：20コマ／授業料：80,000円／教材費：7,000円／消費税：8,700円／請求額：95,700円</v>
      </c>
      <c r="O156" t="str">
        <f t="shared" si="29"/>
        <v>153：長谷川美月</v>
      </c>
    </row>
    <row r="157" spans="1:15" hidden="1" outlineLevel="1" x14ac:dyDescent="0.2">
      <c r="A157" s="5">
        <f t="shared" si="24"/>
        <v>154</v>
      </c>
      <c r="B157" t="s">
        <v>374</v>
      </c>
      <c r="C157" s="5" t="s">
        <v>328</v>
      </c>
      <c r="D157" s="5" t="s">
        <v>61</v>
      </c>
      <c r="E157" s="5" t="s">
        <v>41</v>
      </c>
      <c r="F157" s="6">
        <f>IFERROR(INDEX(TankaData[1コマ単価],MATCH(E157,TankaData[コース],0)),0)</f>
        <v>4000</v>
      </c>
      <c r="G157" s="7">
        <v>2</v>
      </c>
      <c r="H157" s="8">
        <f t="shared" si="25"/>
        <v>8</v>
      </c>
      <c r="I157" s="6">
        <f>IFERROR(INDEX(TankaData[教材費(標準)],MATCH(E157,TankaData[コース],0)),0)</f>
        <v>7000</v>
      </c>
      <c r="J157" s="6">
        <f t="shared" si="26"/>
        <v>32000</v>
      </c>
      <c r="K157" s="6">
        <f t="shared" si="27"/>
        <v>42900</v>
      </c>
      <c r="L157" t="s">
        <v>375</v>
      </c>
      <c r="M157" s="9" t="s">
        <v>59</v>
      </c>
      <c r="N157" s="10" t="str">
        <f t="shared" si="28"/>
        <v>教室：西校／コース：個別指導S／コマ数：8コマ／授業料：32,000円／教材費：7,000円／消費税：3,900円／請求額：42,900円</v>
      </c>
      <c r="O157" t="str">
        <f t="shared" si="29"/>
        <v>154：近藤拓也</v>
      </c>
    </row>
    <row r="158" spans="1:15" hidden="1" outlineLevel="1" x14ac:dyDescent="0.2">
      <c r="A158" s="5">
        <f t="shared" si="24"/>
        <v>155</v>
      </c>
      <c r="B158" t="s">
        <v>376</v>
      </c>
      <c r="C158" s="5" t="s">
        <v>328</v>
      </c>
      <c r="D158" s="5" t="s">
        <v>99</v>
      </c>
      <c r="E158" s="5" t="s">
        <v>44</v>
      </c>
      <c r="F158" s="6">
        <f>IFERROR(INDEX(TankaData[1コマ単価],MATCH(E158,TankaData[コース],0)),0)</f>
        <v>2100</v>
      </c>
      <c r="G158" s="7">
        <v>1</v>
      </c>
      <c r="H158" s="8">
        <f t="shared" si="25"/>
        <v>4</v>
      </c>
      <c r="I158" s="6">
        <f>IFERROR(INDEX(TankaData[教材費(標準)],MATCH(E158,TankaData[コース],0)),0)</f>
        <v>3000</v>
      </c>
      <c r="J158" s="6">
        <f t="shared" si="26"/>
        <v>8400</v>
      </c>
      <c r="K158" s="6">
        <f t="shared" si="27"/>
        <v>12540</v>
      </c>
      <c r="L158" t="s">
        <v>377</v>
      </c>
      <c r="M158" s="9" t="s">
        <v>59</v>
      </c>
      <c r="N158" s="10" t="str">
        <f t="shared" si="28"/>
        <v>教室：西校／コース：映像授業／コマ数：4コマ／授業料：8,400円／教材費：3,000円／消費税：1,140円／請求額：12,540円</v>
      </c>
      <c r="O158" t="str">
        <f t="shared" si="29"/>
        <v>155：中村駿</v>
      </c>
    </row>
    <row r="159" spans="1:15" hidden="1" outlineLevel="1" x14ac:dyDescent="0.2">
      <c r="A159" s="5">
        <f t="shared" si="24"/>
        <v>156</v>
      </c>
      <c r="B159" t="s">
        <v>378</v>
      </c>
      <c r="C159" s="5" t="s">
        <v>328</v>
      </c>
      <c r="D159" s="5" t="s">
        <v>114</v>
      </c>
      <c r="E159" s="5" t="s">
        <v>44</v>
      </c>
      <c r="F159" s="6">
        <f>IFERROR(INDEX(TankaData[1コマ単価],MATCH(E159,TankaData[コース],0)),0)</f>
        <v>2100</v>
      </c>
      <c r="G159" s="7">
        <v>3</v>
      </c>
      <c r="H159" s="8">
        <f t="shared" si="25"/>
        <v>12</v>
      </c>
      <c r="I159" s="6">
        <f>IFERROR(INDEX(TankaData[教材費(標準)],MATCH(E159,TankaData[コース],0)),0)</f>
        <v>3000</v>
      </c>
      <c r="J159" s="6">
        <f t="shared" si="26"/>
        <v>25200</v>
      </c>
      <c r="K159" s="6">
        <f t="shared" si="27"/>
        <v>31020</v>
      </c>
      <c r="L159" t="s">
        <v>379</v>
      </c>
      <c r="M159" s="9" t="s">
        <v>59</v>
      </c>
      <c r="N159" s="10" t="str">
        <f t="shared" si="28"/>
        <v>教室：西校／コース：映像授業／コマ数：12コマ／授業料：25,200円／教材費：3,000円／消費税：2,820円／請求額：31,020円</v>
      </c>
      <c r="O159" t="str">
        <f t="shared" si="29"/>
        <v>156：伊藤煌</v>
      </c>
    </row>
    <row r="160" spans="1:15" hidden="1" outlineLevel="1" x14ac:dyDescent="0.2">
      <c r="A160" s="5">
        <f t="shared" si="24"/>
        <v>157</v>
      </c>
      <c r="B160" t="s">
        <v>380</v>
      </c>
      <c r="C160" s="5" t="s">
        <v>328</v>
      </c>
      <c r="D160" s="5" t="s">
        <v>67</v>
      </c>
      <c r="E160" s="5" t="s">
        <v>43</v>
      </c>
      <c r="F160" s="6">
        <f>IFERROR(INDEX(TankaData[1コマ単価],MATCH(E160,TankaData[コース],0)),0)</f>
        <v>2500</v>
      </c>
      <c r="G160" s="7">
        <v>4</v>
      </c>
      <c r="H160" s="8">
        <f t="shared" si="25"/>
        <v>16</v>
      </c>
      <c r="I160" s="6">
        <f>IFERROR(INDEX(TankaData[教材費(標準)],MATCH(E160,TankaData[コース],0)),0)</f>
        <v>4500</v>
      </c>
      <c r="J160" s="6">
        <f t="shared" si="26"/>
        <v>40000</v>
      </c>
      <c r="K160" s="6">
        <f t="shared" si="27"/>
        <v>48950</v>
      </c>
      <c r="L160" t="s">
        <v>381</v>
      </c>
      <c r="M160" s="9" t="s">
        <v>59</v>
      </c>
      <c r="N160" s="10" t="str">
        <f t="shared" si="28"/>
        <v>教室：西校／コース：集団授業／コマ数：16コマ／授業料：40,000円／教材費：4,500円／消費税：4,450円／請求額：48,950円</v>
      </c>
      <c r="O160" t="str">
        <f t="shared" si="29"/>
        <v>157：金子美桜</v>
      </c>
    </row>
    <row r="161" spans="1:15" hidden="1" outlineLevel="1" x14ac:dyDescent="0.2">
      <c r="A161" s="5">
        <f t="shared" si="24"/>
        <v>158</v>
      </c>
      <c r="B161" t="s">
        <v>382</v>
      </c>
      <c r="C161" s="5" t="s">
        <v>328</v>
      </c>
      <c r="D161" s="5" t="s">
        <v>86</v>
      </c>
      <c r="E161" s="5" t="s">
        <v>44</v>
      </c>
      <c r="F161" s="6">
        <f>IFERROR(INDEX(TankaData[1コマ単価],MATCH(E161,TankaData[コース],0)),0)</f>
        <v>2100</v>
      </c>
      <c r="G161" s="7">
        <v>2</v>
      </c>
      <c r="H161" s="8">
        <f t="shared" si="25"/>
        <v>8</v>
      </c>
      <c r="I161" s="6">
        <f>IFERROR(INDEX(TankaData[教材費(標準)],MATCH(E161,TankaData[コース],0)),0)</f>
        <v>3000</v>
      </c>
      <c r="J161" s="6">
        <f t="shared" si="26"/>
        <v>16800</v>
      </c>
      <c r="K161" s="6">
        <f t="shared" si="27"/>
        <v>21780</v>
      </c>
      <c r="L161" t="s">
        <v>383</v>
      </c>
      <c r="M161" s="9" t="s">
        <v>59</v>
      </c>
      <c r="N161" s="10" t="str">
        <f t="shared" si="28"/>
        <v>教室：西校／コース：映像授業／コマ数：8コマ／授業料：16,800円／教材費：3,000円／消費税：1,980円／請求額：21,780円</v>
      </c>
      <c r="O161" t="str">
        <f t="shared" si="29"/>
        <v>158：池田彩花</v>
      </c>
    </row>
    <row r="162" spans="1:15" hidden="1" outlineLevel="1" x14ac:dyDescent="0.2">
      <c r="A162" s="5">
        <f t="shared" si="24"/>
        <v>159</v>
      </c>
      <c r="B162" t="s">
        <v>384</v>
      </c>
      <c r="C162" s="5" t="s">
        <v>328</v>
      </c>
      <c r="D162" s="5" t="s">
        <v>86</v>
      </c>
      <c r="E162" s="5" t="s">
        <v>42</v>
      </c>
      <c r="F162" s="6">
        <f>IFERROR(INDEX(TankaData[1コマ単価],MATCH(E162,TankaData[コース],0)),0)</f>
        <v>3500</v>
      </c>
      <c r="G162" s="7">
        <v>4</v>
      </c>
      <c r="H162" s="8">
        <f t="shared" si="25"/>
        <v>16</v>
      </c>
      <c r="I162" s="6">
        <f>IFERROR(INDEX(TankaData[教材費(標準)],MATCH(E162,TankaData[コース],0)),0)</f>
        <v>6000</v>
      </c>
      <c r="J162" s="6">
        <f t="shared" si="26"/>
        <v>56000</v>
      </c>
      <c r="K162" s="6">
        <f t="shared" si="27"/>
        <v>68200</v>
      </c>
      <c r="L162" t="s">
        <v>385</v>
      </c>
      <c r="M162" s="9" t="s">
        <v>59</v>
      </c>
      <c r="N162" s="10" t="str">
        <f t="shared" si="28"/>
        <v>教室：西校／コース：個別指導／コマ数：16コマ／授業料：56,000円／教材費：6,000円／消費税：6,200円／請求額：68,200円</v>
      </c>
      <c r="O162" t="str">
        <f t="shared" si="29"/>
        <v>159：岡本悠斗</v>
      </c>
    </row>
    <row r="163" spans="1:15" hidden="1" outlineLevel="1" x14ac:dyDescent="0.2">
      <c r="A163" s="5">
        <f t="shared" si="24"/>
        <v>160</v>
      </c>
      <c r="B163" t="s">
        <v>386</v>
      </c>
      <c r="C163" s="5" t="s">
        <v>328</v>
      </c>
      <c r="D163" s="5" t="s">
        <v>81</v>
      </c>
      <c r="E163" s="5" t="s">
        <v>42</v>
      </c>
      <c r="F163" s="6">
        <f>IFERROR(INDEX(TankaData[1コマ単価],MATCH(E163,TankaData[コース],0)),0)</f>
        <v>3500</v>
      </c>
      <c r="G163" s="7">
        <v>1</v>
      </c>
      <c r="H163" s="8">
        <f t="shared" si="25"/>
        <v>4</v>
      </c>
      <c r="I163" s="6">
        <f>IFERROR(INDEX(TankaData[教材費(標準)],MATCH(E163,TankaData[コース],0)),0)</f>
        <v>6000</v>
      </c>
      <c r="J163" s="6">
        <f t="shared" si="26"/>
        <v>14000</v>
      </c>
      <c r="K163" s="6">
        <f t="shared" si="27"/>
        <v>22000</v>
      </c>
      <c r="L163" t="s">
        <v>387</v>
      </c>
      <c r="M163" s="9" t="s">
        <v>59</v>
      </c>
      <c r="N163" s="10" t="str">
        <f t="shared" si="28"/>
        <v>教室：西校／コース：個別指導／コマ数：4コマ／授業料：14,000円／教材費：6,000円／消費税：2,000円／請求額：22,000円</v>
      </c>
      <c r="O163" t="str">
        <f t="shared" si="29"/>
        <v>160：加藤湊</v>
      </c>
    </row>
    <row r="164" spans="1:15" hidden="1" outlineLevel="1" x14ac:dyDescent="0.2">
      <c r="A164" s="5">
        <f t="shared" ref="A164:A183" si="30">ROW()-3</f>
        <v>161</v>
      </c>
      <c r="B164" t="s">
        <v>388</v>
      </c>
      <c r="C164" s="5" t="s">
        <v>328</v>
      </c>
      <c r="D164" s="5" t="s">
        <v>76</v>
      </c>
      <c r="E164" s="5" t="s">
        <v>44</v>
      </c>
      <c r="F164" s="6">
        <f>IFERROR(INDEX(TankaData[1コマ単価],MATCH(E164,TankaData[コース],0)),0)</f>
        <v>2100</v>
      </c>
      <c r="G164" s="7">
        <v>3</v>
      </c>
      <c r="H164" s="8">
        <f t="shared" ref="H164:H195" si="31">G164*4</f>
        <v>12</v>
      </c>
      <c r="I164" s="6">
        <f>IFERROR(INDEX(TankaData[教材費(標準)],MATCH(E164,TankaData[コース],0)),0)</f>
        <v>3000</v>
      </c>
      <c r="J164" s="6">
        <f t="shared" ref="J164:J183" si="32">F164*H164</f>
        <v>25200</v>
      </c>
      <c r="K164" s="6">
        <f t="shared" ref="K164:K195" si="33">J164+I164+ROUND((J164+I164)*0.1,0)</f>
        <v>31020</v>
      </c>
      <c r="L164" t="s">
        <v>389</v>
      </c>
      <c r="M164" s="9" t="s">
        <v>59</v>
      </c>
      <c r="N164" s="10" t="str">
        <f t="shared" ref="N164:N183" si="34">"教室："&amp;C164&amp;"／コース："&amp;E164&amp;"／コマ数："&amp;H164&amp;"コマ／授業料："&amp;TEXT(J164,"#,##0")&amp;"円／教材費："&amp;TEXT(I164,"#,##0")&amp;"円／消費税："&amp;TEXT(ROUND((J164+I164)*0.1,0),"#,##0")&amp;"円／請求額："&amp;TEXT(K164,"#,##0")&amp;"円"</f>
        <v>教室：西校／コース：映像授業／コマ数：12コマ／授業料：25,200円／教材費：3,000円／消費税：2,820円／請求額：31,020円</v>
      </c>
      <c r="O164" t="str">
        <f t="shared" ref="O164:O183" si="35">A164&amp;"："&amp;B164</f>
        <v>161：松本結翔</v>
      </c>
    </row>
    <row r="165" spans="1:15" hidden="1" outlineLevel="1" x14ac:dyDescent="0.2">
      <c r="A165" s="5">
        <f t="shared" si="30"/>
        <v>162</v>
      </c>
      <c r="B165" t="s">
        <v>390</v>
      </c>
      <c r="C165" s="5" t="s">
        <v>328</v>
      </c>
      <c r="D165" s="5" t="s">
        <v>67</v>
      </c>
      <c r="E165" s="5" t="s">
        <v>43</v>
      </c>
      <c r="F165" s="6">
        <f>IFERROR(INDEX(TankaData[1コマ単価],MATCH(E165,TankaData[コース],0)),0)</f>
        <v>2500</v>
      </c>
      <c r="G165" s="7">
        <v>1</v>
      </c>
      <c r="H165" s="8">
        <f t="shared" si="31"/>
        <v>4</v>
      </c>
      <c r="I165" s="6">
        <f>IFERROR(INDEX(TankaData[教材費(標準)],MATCH(E165,TankaData[コース],0)),0)</f>
        <v>4500</v>
      </c>
      <c r="J165" s="6">
        <f t="shared" si="32"/>
        <v>10000</v>
      </c>
      <c r="K165" s="6">
        <f t="shared" si="33"/>
        <v>15950</v>
      </c>
      <c r="L165" t="s">
        <v>391</v>
      </c>
      <c r="M165" s="9" t="s">
        <v>59</v>
      </c>
      <c r="N165" s="10" t="str">
        <f t="shared" si="34"/>
        <v>教室：西校／コース：集団授業／コマ数：4コマ／授業料：10,000円／教材費：4,500円／消費税：1,450円／請求額：15,950円</v>
      </c>
      <c r="O165" t="str">
        <f t="shared" si="35"/>
        <v>162：山崎美咲</v>
      </c>
    </row>
    <row r="166" spans="1:15" hidden="1" outlineLevel="1" x14ac:dyDescent="0.2">
      <c r="A166" s="5">
        <f t="shared" si="30"/>
        <v>163</v>
      </c>
      <c r="B166" t="s">
        <v>392</v>
      </c>
      <c r="C166" s="5" t="s">
        <v>328</v>
      </c>
      <c r="D166" s="5" t="s">
        <v>76</v>
      </c>
      <c r="E166" s="5" t="s">
        <v>43</v>
      </c>
      <c r="F166" s="6">
        <f>IFERROR(INDEX(TankaData[1コマ単価],MATCH(E166,TankaData[コース],0)),0)</f>
        <v>2500</v>
      </c>
      <c r="G166" s="7">
        <v>5</v>
      </c>
      <c r="H166" s="8">
        <f t="shared" si="31"/>
        <v>20</v>
      </c>
      <c r="I166" s="6">
        <f>IFERROR(INDEX(TankaData[教材費(標準)],MATCH(E166,TankaData[コース],0)),0)</f>
        <v>4500</v>
      </c>
      <c r="J166" s="6">
        <f t="shared" si="32"/>
        <v>50000</v>
      </c>
      <c r="K166" s="6">
        <f t="shared" si="33"/>
        <v>59950</v>
      </c>
      <c r="L166" t="s">
        <v>393</v>
      </c>
      <c r="M166" s="9" t="s">
        <v>59</v>
      </c>
      <c r="N166" s="10" t="str">
        <f t="shared" si="34"/>
        <v>教室：西校／コース：集団授業／コマ数：20コマ／授業料：50,000円／教材費：4,500円／消費税：5,450円／請求額：59,950円</v>
      </c>
      <c r="O166" t="str">
        <f t="shared" si="35"/>
        <v>163：山口大翔</v>
      </c>
    </row>
    <row r="167" spans="1:15" hidden="1" outlineLevel="1" x14ac:dyDescent="0.2">
      <c r="A167" s="5">
        <f t="shared" si="30"/>
        <v>164</v>
      </c>
      <c r="B167" t="s">
        <v>394</v>
      </c>
      <c r="C167" s="5" t="s">
        <v>328</v>
      </c>
      <c r="D167" s="5" t="s">
        <v>86</v>
      </c>
      <c r="E167" s="5" t="s">
        <v>42</v>
      </c>
      <c r="F167" s="6">
        <f>IFERROR(INDEX(TankaData[1コマ単価],MATCH(E167,TankaData[コース],0)),0)</f>
        <v>3500</v>
      </c>
      <c r="G167" s="7">
        <v>4</v>
      </c>
      <c r="H167" s="8">
        <f t="shared" si="31"/>
        <v>16</v>
      </c>
      <c r="I167" s="6">
        <f>IFERROR(INDEX(TankaData[教材費(標準)],MATCH(E167,TankaData[コース],0)),0)</f>
        <v>6000</v>
      </c>
      <c r="J167" s="6">
        <f t="shared" si="32"/>
        <v>56000</v>
      </c>
      <c r="K167" s="6">
        <f t="shared" si="33"/>
        <v>68200</v>
      </c>
      <c r="L167" t="s">
        <v>395</v>
      </c>
      <c r="M167" s="9" t="s">
        <v>59</v>
      </c>
      <c r="N167" s="10" t="str">
        <f t="shared" si="34"/>
        <v>教室：西校／コース：個別指導／コマ数：16コマ／授業料：56,000円／教材費：6,000円／消費税：6,200円／請求額：68,200円</v>
      </c>
      <c r="O167" t="str">
        <f t="shared" si="35"/>
        <v>164：鈴木遥</v>
      </c>
    </row>
    <row r="168" spans="1:15" hidden="1" outlineLevel="1" x14ac:dyDescent="0.2">
      <c r="A168" s="5">
        <f t="shared" si="30"/>
        <v>165</v>
      </c>
      <c r="B168" t="s">
        <v>396</v>
      </c>
      <c r="C168" s="5" t="s">
        <v>328</v>
      </c>
      <c r="D168" s="5" t="s">
        <v>67</v>
      </c>
      <c r="E168" s="5" t="s">
        <v>44</v>
      </c>
      <c r="F168" s="6">
        <f>IFERROR(INDEX(TankaData[1コマ単価],MATCH(E168,TankaData[コース],0)),0)</f>
        <v>2100</v>
      </c>
      <c r="G168" s="7">
        <v>3</v>
      </c>
      <c r="H168" s="8">
        <f t="shared" si="31"/>
        <v>12</v>
      </c>
      <c r="I168" s="6">
        <f>IFERROR(INDEX(TankaData[教材費(標準)],MATCH(E168,TankaData[コース],0)),0)</f>
        <v>3000</v>
      </c>
      <c r="J168" s="6">
        <f t="shared" si="32"/>
        <v>25200</v>
      </c>
      <c r="K168" s="6">
        <f t="shared" si="33"/>
        <v>31020</v>
      </c>
      <c r="L168" t="s">
        <v>397</v>
      </c>
      <c r="M168" s="9" t="s">
        <v>59</v>
      </c>
      <c r="N168" s="10" t="str">
        <f t="shared" si="34"/>
        <v>教室：西校／コース：映像授業／コマ数：12コマ／授業料：25,200円／教材費：3,000円／消費税：2,820円／請求額：31,020円</v>
      </c>
      <c r="O168" t="str">
        <f t="shared" si="35"/>
        <v>165：小野朝陽</v>
      </c>
    </row>
    <row r="169" spans="1:15" hidden="1" outlineLevel="1" x14ac:dyDescent="0.2">
      <c r="A169" s="5">
        <f t="shared" si="30"/>
        <v>166</v>
      </c>
      <c r="B169" t="s">
        <v>398</v>
      </c>
      <c r="C169" s="5" t="s">
        <v>328</v>
      </c>
      <c r="D169" s="5" t="s">
        <v>64</v>
      </c>
      <c r="E169" s="5" t="s">
        <v>44</v>
      </c>
      <c r="F169" s="6">
        <f>IFERROR(INDEX(TankaData[1コマ単価],MATCH(E169,TankaData[コース],0)),0)</f>
        <v>2100</v>
      </c>
      <c r="G169" s="7">
        <v>4</v>
      </c>
      <c r="H169" s="8">
        <f t="shared" si="31"/>
        <v>16</v>
      </c>
      <c r="I169" s="6">
        <f>IFERROR(INDEX(TankaData[教材費(標準)],MATCH(E169,TankaData[コース],0)),0)</f>
        <v>3000</v>
      </c>
      <c r="J169" s="6">
        <f t="shared" si="32"/>
        <v>33600</v>
      </c>
      <c r="K169" s="6">
        <f t="shared" si="33"/>
        <v>40260</v>
      </c>
      <c r="L169" t="s">
        <v>399</v>
      </c>
      <c r="M169" s="9" t="s">
        <v>59</v>
      </c>
      <c r="N169" s="10" t="str">
        <f t="shared" si="34"/>
        <v>教室：西校／コース：映像授業／コマ数：16コマ／授業料：33,600円／教材費：3,000円／消費税：3,660円／請求額：40,260円</v>
      </c>
      <c r="O169" t="str">
        <f t="shared" si="35"/>
        <v>166：山崎紬</v>
      </c>
    </row>
    <row r="170" spans="1:15" hidden="1" outlineLevel="1" x14ac:dyDescent="0.2">
      <c r="A170" s="5">
        <f t="shared" si="30"/>
        <v>167</v>
      </c>
      <c r="B170" t="s">
        <v>400</v>
      </c>
      <c r="C170" s="5" t="s">
        <v>328</v>
      </c>
      <c r="D170" s="5" t="s">
        <v>64</v>
      </c>
      <c r="E170" s="5" t="s">
        <v>42</v>
      </c>
      <c r="F170" s="6">
        <f>IFERROR(INDEX(TankaData[1コマ単価],MATCH(E170,TankaData[コース],0)),0)</f>
        <v>3500</v>
      </c>
      <c r="G170" s="7">
        <v>2</v>
      </c>
      <c r="H170" s="8">
        <f t="shared" si="31"/>
        <v>8</v>
      </c>
      <c r="I170" s="6">
        <f>IFERROR(INDEX(TankaData[教材費(標準)],MATCH(E170,TankaData[コース],0)),0)</f>
        <v>6000</v>
      </c>
      <c r="J170" s="6">
        <f t="shared" si="32"/>
        <v>28000</v>
      </c>
      <c r="K170" s="6">
        <f t="shared" si="33"/>
        <v>37400</v>
      </c>
      <c r="L170" t="s">
        <v>401</v>
      </c>
      <c r="M170" s="9" t="s">
        <v>59</v>
      </c>
      <c r="N170" s="10" t="str">
        <f t="shared" si="34"/>
        <v>教室：西校／コース：個別指導／コマ数：8コマ／授業料：28,000円／教材費：6,000円／消費税：3,400円／請求額：37,400円</v>
      </c>
      <c r="O170" t="str">
        <f t="shared" si="35"/>
        <v>167：岡田葵</v>
      </c>
    </row>
    <row r="171" spans="1:15" hidden="1" outlineLevel="1" x14ac:dyDescent="0.2">
      <c r="A171" s="5">
        <f t="shared" si="30"/>
        <v>168</v>
      </c>
      <c r="B171" t="s">
        <v>402</v>
      </c>
      <c r="C171" s="5" t="s">
        <v>328</v>
      </c>
      <c r="D171" s="5" t="s">
        <v>61</v>
      </c>
      <c r="E171" s="5" t="s">
        <v>42</v>
      </c>
      <c r="F171" s="6">
        <f>IFERROR(INDEX(TankaData[1コマ単価],MATCH(E171,TankaData[コース],0)),0)</f>
        <v>3500</v>
      </c>
      <c r="G171" s="7">
        <v>4</v>
      </c>
      <c r="H171" s="8">
        <f t="shared" si="31"/>
        <v>16</v>
      </c>
      <c r="I171" s="6">
        <f>IFERROR(INDEX(TankaData[教材費(標準)],MATCH(E171,TankaData[コース],0)),0)</f>
        <v>6000</v>
      </c>
      <c r="J171" s="6">
        <f t="shared" si="32"/>
        <v>56000</v>
      </c>
      <c r="K171" s="6">
        <f t="shared" si="33"/>
        <v>68200</v>
      </c>
      <c r="L171" t="s">
        <v>403</v>
      </c>
      <c r="M171" s="9" t="s">
        <v>59</v>
      </c>
      <c r="N171" s="10" t="str">
        <f t="shared" si="34"/>
        <v>教室：西校／コース：個別指導／コマ数：16コマ／授業料：56,000円／教材費：6,000円／消費税：6,200円／請求額：68,200円</v>
      </c>
      <c r="O171" t="str">
        <f t="shared" si="35"/>
        <v>168：田村琴音</v>
      </c>
    </row>
    <row r="172" spans="1:15" hidden="1" outlineLevel="1" x14ac:dyDescent="0.2">
      <c r="A172" s="5">
        <f t="shared" si="30"/>
        <v>169</v>
      </c>
      <c r="B172" t="s">
        <v>404</v>
      </c>
      <c r="C172" s="5" t="s">
        <v>328</v>
      </c>
      <c r="D172" s="5" t="s">
        <v>57</v>
      </c>
      <c r="E172" s="5" t="s">
        <v>43</v>
      </c>
      <c r="F172" s="6">
        <f>IFERROR(INDEX(TankaData[1コマ単価],MATCH(E172,TankaData[コース],0)),0)</f>
        <v>2500</v>
      </c>
      <c r="G172" s="7">
        <v>4</v>
      </c>
      <c r="H172" s="8">
        <f t="shared" si="31"/>
        <v>16</v>
      </c>
      <c r="I172" s="6">
        <f>IFERROR(INDEX(TankaData[教材費(標準)],MATCH(E172,TankaData[コース],0)),0)</f>
        <v>4500</v>
      </c>
      <c r="J172" s="6">
        <f t="shared" si="32"/>
        <v>40000</v>
      </c>
      <c r="K172" s="6">
        <f t="shared" si="33"/>
        <v>48950</v>
      </c>
      <c r="L172" t="s">
        <v>405</v>
      </c>
      <c r="M172" s="9" t="s">
        <v>59</v>
      </c>
      <c r="N172" s="10" t="str">
        <f t="shared" si="34"/>
        <v>教室：西校／コース：集団授業／コマ数：16コマ／授業料：40,000円／教材費：4,500円／消費税：4,450円／請求額：48,950円</v>
      </c>
      <c r="O172" t="str">
        <f t="shared" si="35"/>
        <v>169：竹内楓</v>
      </c>
    </row>
    <row r="173" spans="1:15" hidden="1" outlineLevel="1" x14ac:dyDescent="0.2">
      <c r="A173" s="5">
        <f t="shared" si="30"/>
        <v>170</v>
      </c>
      <c r="B173" t="s">
        <v>406</v>
      </c>
      <c r="C173" s="5" t="s">
        <v>328</v>
      </c>
      <c r="D173" s="5" t="s">
        <v>61</v>
      </c>
      <c r="E173" s="5" t="s">
        <v>44</v>
      </c>
      <c r="F173" s="6">
        <f>IFERROR(INDEX(TankaData[1コマ単価],MATCH(E173,TankaData[コース],0)),0)</f>
        <v>2100</v>
      </c>
      <c r="G173" s="7">
        <v>2</v>
      </c>
      <c r="H173" s="8">
        <f t="shared" si="31"/>
        <v>8</v>
      </c>
      <c r="I173" s="6">
        <f>IFERROR(INDEX(TankaData[教材費(標準)],MATCH(E173,TankaData[コース],0)),0)</f>
        <v>3000</v>
      </c>
      <c r="J173" s="6">
        <f t="shared" si="32"/>
        <v>16800</v>
      </c>
      <c r="K173" s="6">
        <f t="shared" si="33"/>
        <v>21780</v>
      </c>
      <c r="L173" t="s">
        <v>407</v>
      </c>
      <c r="M173" s="9" t="s">
        <v>59</v>
      </c>
      <c r="N173" s="10" t="str">
        <f t="shared" si="34"/>
        <v>教室：西校／コース：映像授業／コマ数：8コマ／授業料：16,800円／教材費：3,000円／消費税：1,980円／請求額：21,780円</v>
      </c>
      <c r="O173" t="str">
        <f t="shared" si="35"/>
        <v>170：藤井遥</v>
      </c>
    </row>
    <row r="174" spans="1:15" hidden="1" outlineLevel="1" x14ac:dyDescent="0.2">
      <c r="A174" s="5">
        <f t="shared" si="30"/>
        <v>171</v>
      </c>
      <c r="B174" t="s">
        <v>408</v>
      </c>
      <c r="C174" s="5" t="s">
        <v>328</v>
      </c>
      <c r="D174" s="5" t="s">
        <v>86</v>
      </c>
      <c r="E174" s="5" t="s">
        <v>41</v>
      </c>
      <c r="F174" s="6">
        <f>IFERROR(INDEX(TankaData[1コマ単価],MATCH(E174,TankaData[コース],0)),0)</f>
        <v>4000</v>
      </c>
      <c r="G174" s="7">
        <v>2</v>
      </c>
      <c r="H174" s="8">
        <f t="shared" si="31"/>
        <v>8</v>
      </c>
      <c r="I174" s="6">
        <f>IFERROR(INDEX(TankaData[教材費(標準)],MATCH(E174,TankaData[コース],0)),0)</f>
        <v>7000</v>
      </c>
      <c r="J174" s="6">
        <f t="shared" si="32"/>
        <v>32000</v>
      </c>
      <c r="K174" s="6">
        <f t="shared" si="33"/>
        <v>42900</v>
      </c>
      <c r="L174" t="s">
        <v>409</v>
      </c>
      <c r="M174" s="9" t="s">
        <v>59</v>
      </c>
      <c r="N174" s="10" t="str">
        <f t="shared" si="34"/>
        <v>教室：西校／コース：個別指導S／コマ数：8コマ／授業料：32,000円／教材費：7,000円／消費税：3,900円／請求額：42,900円</v>
      </c>
      <c r="O174" t="str">
        <f t="shared" si="35"/>
        <v>171：長谷川悠真</v>
      </c>
    </row>
    <row r="175" spans="1:15" hidden="1" outlineLevel="1" x14ac:dyDescent="0.2">
      <c r="A175" s="5">
        <f t="shared" si="30"/>
        <v>172</v>
      </c>
      <c r="B175" t="s">
        <v>410</v>
      </c>
      <c r="C175" s="5" t="s">
        <v>328</v>
      </c>
      <c r="D175" s="5" t="s">
        <v>67</v>
      </c>
      <c r="E175" s="5" t="s">
        <v>43</v>
      </c>
      <c r="F175" s="6">
        <f>IFERROR(INDEX(TankaData[1コマ単価],MATCH(E175,TankaData[コース],0)),0)</f>
        <v>2500</v>
      </c>
      <c r="G175" s="7">
        <v>1</v>
      </c>
      <c r="H175" s="8">
        <f t="shared" si="31"/>
        <v>4</v>
      </c>
      <c r="I175" s="6">
        <f>IFERROR(INDEX(TankaData[教材費(標準)],MATCH(E175,TankaData[コース],0)),0)</f>
        <v>4500</v>
      </c>
      <c r="J175" s="6">
        <f t="shared" si="32"/>
        <v>10000</v>
      </c>
      <c r="K175" s="6">
        <f t="shared" si="33"/>
        <v>15950</v>
      </c>
      <c r="L175" t="s">
        <v>411</v>
      </c>
      <c r="M175" s="9" t="s">
        <v>59</v>
      </c>
      <c r="N175" s="10" t="str">
        <f t="shared" si="34"/>
        <v>教室：西校／コース：集団授業／コマ数：4コマ／授業料：10,000円／教材費：4,500円／消費税：1,450円／請求額：15,950円</v>
      </c>
      <c r="O175" t="str">
        <f t="shared" si="35"/>
        <v>172：林海斗</v>
      </c>
    </row>
    <row r="176" spans="1:15" hidden="1" outlineLevel="1" x14ac:dyDescent="0.2">
      <c r="A176" s="5">
        <f t="shared" si="30"/>
        <v>173</v>
      </c>
      <c r="B176" t="s">
        <v>412</v>
      </c>
      <c r="C176" s="5" t="s">
        <v>328</v>
      </c>
      <c r="D176" s="5" t="s">
        <v>86</v>
      </c>
      <c r="E176" s="5" t="s">
        <v>41</v>
      </c>
      <c r="F176" s="6">
        <f>IFERROR(INDEX(TankaData[1コマ単価],MATCH(E176,TankaData[コース],0)),0)</f>
        <v>4000</v>
      </c>
      <c r="G176" s="7">
        <v>5</v>
      </c>
      <c r="H176" s="8">
        <f t="shared" si="31"/>
        <v>20</v>
      </c>
      <c r="I176" s="6">
        <f>IFERROR(INDEX(TankaData[教材費(標準)],MATCH(E176,TankaData[コース],0)),0)</f>
        <v>7000</v>
      </c>
      <c r="J176" s="6">
        <f t="shared" si="32"/>
        <v>80000</v>
      </c>
      <c r="K176" s="6">
        <f t="shared" si="33"/>
        <v>95700</v>
      </c>
      <c r="L176" t="s">
        <v>413</v>
      </c>
      <c r="M176" s="9" t="s">
        <v>59</v>
      </c>
      <c r="N176" s="10" t="str">
        <f t="shared" si="34"/>
        <v>教室：西校／コース：個別指導S／コマ数：20コマ／授業料：80,000円／教材費：7,000円／消費税：8,700円／請求額：95,700円</v>
      </c>
      <c r="O176" t="str">
        <f t="shared" si="35"/>
        <v>173：伊藤萌</v>
      </c>
    </row>
    <row r="177" spans="1:15" hidden="1" outlineLevel="1" x14ac:dyDescent="0.2">
      <c r="A177" s="5">
        <f t="shared" si="30"/>
        <v>174</v>
      </c>
      <c r="B177" t="s">
        <v>414</v>
      </c>
      <c r="C177" s="5" t="s">
        <v>328</v>
      </c>
      <c r="D177" s="5" t="s">
        <v>86</v>
      </c>
      <c r="E177" s="5" t="s">
        <v>41</v>
      </c>
      <c r="F177" s="6">
        <f>IFERROR(INDEX(TankaData[1コマ単価],MATCH(E177,TankaData[コース],0)),0)</f>
        <v>4000</v>
      </c>
      <c r="G177" s="7">
        <v>2</v>
      </c>
      <c r="H177" s="8">
        <f t="shared" si="31"/>
        <v>8</v>
      </c>
      <c r="I177" s="6">
        <f>IFERROR(INDEX(TankaData[教材費(標準)],MATCH(E177,TankaData[コース],0)),0)</f>
        <v>7000</v>
      </c>
      <c r="J177" s="6">
        <f t="shared" si="32"/>
        <v>32000</v>
      </c>
      <c r="K177" s="6">
        <f t="shared" si="33"/>
        <v>42900</v>
      </c>
      <c r="L177" t="s">
        <v>415</v>
      </c>
      <c r="M177" s="9" t="s">
        <v>59</v>
      </c>
      <c r="N177" s="10" t="str">
        <f t="shared" si="34"/>
        <v>教室：西校／コース：個別指導S／コマ数：8コマ／授業料：32,000円／教材費：7,000円／消費税：3,900円／請求額：42,900円</v>
      </c>
      <c r="O177" t="str">
        <f t="shared" si="35"/>
        <v>174：近藤蓮</v>
      </c>
    </row>
    <row r="178" spans="1:15" hidden="1" outlineLevel="1" x14ac:dyDescent="0.2">
      <c r="A178" s="5">
        <f t="shared" si="30"/>
        <v>175</v>
      </c>
      <c r="B178" t="s">
        <v>416</v>
      </c>
      <c r="C178" s="5" t="s">
        <v>328</v>
      </c>
      <c r="D178" s="5" t="s">
        <v>61</v>
      </c>
      <c r="E178" s="5" t="s">
        <v>42</v>
      </c>
      <c r="F178" s="6">
        <f>IFERROR(INDEX(TankaData[1コマ単価],MATCH(E178,TankaData[コース],0)),0)</f>
        <v>3500</v>
      </c>
      <c r="G178" s="7">
        <v>1</v>
      </c>
      <c r="H178" s="8">
        <f t="shared" si="31"/>
        <v>4</v>
      </c>
      <c r="I178" s="6">
        <f>IFERROR(INDEX(TankaData[教材費(標準)],MATCH(E178,TankaData[コース],0)),0)</f>
        <v>6000</v>
      </c>
      <c r="J178" s="6">
        <f t="shared" si="32"/>
        <v>14000</v>
      </c>
      <c r="K178" s="6">
        <f t="shared" si="33"/>
        <v>22000</v>
      </c>
      <c r="L178" t="s">
        <v>417</v>
      </c>
      <c r="M178" s="9" t="s">
        <v>59</v>
      </c>
      <c r="N178" s="10" t="str">
        <f t="shared" si="34"/>
        <v>教室：西校／コース：個別指導／コマ数：4コマ／授業料：14,000円／教材費：6,000円／消費税：2,000円／請求額：22,000円</v>
      </c>
      <c r="O178" t="str">
        <f t="shared" si="35"/>
        <v>175：井上尊</v>
      </c>
    </row>
    <row r="179" spans="1:15" hidden="1" outlineLevel="1" x14ac:dyDescent="0.2">
      <c r="A179" s="5">
        <f t="shared" si="30"/>
        <v>176</v>
      </c>
      <c r="B179" t="s">
        <v>418</v>
      </c>
      <c r="C179" s="5" t="s">
        <v>328</v>
      </c>
      <c r="D179" s="5" t="s">
        <v>86</v>
      </c>
      <c r="E179" s="5" t="s">
        <v>43</v>
      </c>
      <c r="F179" s="6">
        <f>IFERROR(INDEX(TankaData[1コマ単価],MATCH(E179,TankaData[コース],0)),0)</f>
        <v>2500</v>
      </c>
      <c r="G179" s="7">
        <v>3</v>
      </c>
      <c r="H179" s="8">
        <f t="shared" si="31"/>
        <v>12</v>
      </c>
      <c r="I179" s="6">
        <f>IFERROR(INDEX(TankaData[教材費(標準)],MATCH(E179,TankaData[コース],0)),0)</f>
        <v>4500</v>
      </c>
      <c r="J179" s="6">
        <f t="shared" si="32"/>
        <v>30000</v>
      </c>
      <c r="K179" s="6">
        <f t="shared" si="33"/>
        <v>37950</v>
      </c>
      <c r="L179" t="s">
        <v>419</v>
      </c>
      <c r="M179" s="9" t="s">
        <v>59</v>
      </c>
      <c r="N179" s="10" t="str">
        <f t="shared" si="34"/>
        <v>教室：西校／コース：集団授業／コマ数：12コマ／授業料：30,000円／教材費：4,500円／消費税：3,450円／請求額：37,950円</v>
      </c>
      <c r="O179" t="str">
        <f t="shared" si="35"/>
        <v>176：西村尊</v>
      </c>
    </row>
    <row r="180" spans="1:15" hidden="1" outlineLevel="1" x14ac:dyDescent="0.2">
      <c r="A180" s="5">
        <f t="shared" si="30"/>
        <v>177</v>
      </c>
      <c r="B180" t="s">
        <v>420</v>
      </c>
      <c r="C180" s="5" t="s">
        <v>328</v>
      </c>
      <c r="D180" s="5" t="s">
        <v>61</v>
      </c>
      <c r="E180" s="5" t="s">
        <v>41</v>
      </c>
      <c r="F180" s="6">
        <f>IFERROR(INDEX(TankaData[1コマ単価],MATCH(E180,TankaData[コース],0)),0)</f>
        <v>4000</v>
      </c>
      <c r="G180" s="7">
        <v>3</v>
      </c>
      <c r="H180" s="8">
        <f t="shared" si="31"/>
        <v>12</v>
      </c>
      <c r="I180" s="6">
        <f>IFERROR(INDEX(TankaData[教材費(標準)],MATCH(E180,TankaData[コース],0)),0)</f>
        <v>7000</v>
      </c>
      <c r="J180" s="6">
        <f t="shared" si="32"/>
        <v>48000</v>
      </c>
      <c r="K180" s="6">
        <f t="shared" si="33"/>
        <v>60500</v>
      </c>
      <c r="L180" t="s">
        <v>421</v>
      </c>
      <c r="M180" s="9" t="s">
        <v>59</v>
      </c>
      <c r="N180" s="10" t="str">
        <f t="shared" si="34"/>
        <v>教室：西校／コース：個別指導S／コマ数：12コマ／授業料：48,000円／教材費：7,000円／消費税：5,500円／請求額：60,500円</v>
      </c>
      <c r="O180" t="str">
        <f t="shared" si="35"/>
        <v>177：藤井美桜</v>
      </c>
    </row>
    <row r="181" spans="1:15" hidden="1" outlineLevel="1" x14ac:dyDescent="0.2">
      <c r="A181" s="5">
        <f t="shared" si="30"/>
        <v>178</v>
      </c>
      <c r="B181" t="s">
        <v>422</v>
      </c>
      <c r="C181" s="5" t="s">
        <v>328</v>
      </c>
      <c r="D181" s="5" t="s">
        <v>67</v>
      </c>
      <c r="E181" s="5" t="s">
        <v>44</v>
      </c>
      <c r="F181" s="6">
        <f>IFERROR(INDEX(TankaData[1コマ単価],MATCH(E181,TankaData[コース],0)),0)</f>
        <v>2100</v>
      </c>
      <c r="G181" s="7">
        <v>3</v>
      </c>
      <c r="H181" s="8">
        <f t="shared" si="31"/>
        <v>12</v>
      </c>
      <c r="I181" s="6">
        <f>IFERROR(INDEX(TankaData[教材費(標準)],MATCH(E181,TankaData[コース],0)),0)</f>
        <v>3000</v>
      </c>
      <c r="J181" s="6">
        <f t="shared" si="32"/>
        <v>25200</v>
      </c>
      <c r="K181" s="6">
        <f t="shared" si="33"/>
        <v>31020</v>
      </c>
      <c r="L181" t="s">
        <v>423</v>
      </c>
      <c r="M181" s="9" t="s">
        <v>59</v>
      </c>
      <c r="N181" s="10" t="str">
        <f t="shared" si="34"/>
        <v>教室：西校／コース：映像授業／コマ数：12コマ／授業料：25,200円／教材費：3,000円／消費税：2,820円／請求額：31,020円</v>
      </c>
      <c r="O181" t="str">
        <f t="shared" si="35"/>
        <v>178：山口美桜</v>
      </c>
    </row>
    <row r="182" spans="1:15" hidden="1" outlineLevel="1" x14ac:dyDescent="0.2">
      <c r="A182" s="5">
        <f t="shared" si="30"/>
        <v>179</v>
      </c>
      <c r="B182" t="s">
        <v>424</v>
      </c>
      <c r="C182" s="5" t="s">
        <v>328</v>
      </c>
      <c r="D182" s="5" t="s">
        <v>86</v>
      </c>
      <c r="E182" s="5" t="s">
        <v>41</v>
      </c>
      <c r="F182" s="6">
        <f>IFERROR(INDEX(TankaData[1コマ単価],MATCH(E182,TankaData[コース],0)),0)</f>
        <v>4000</v>
      </c>
      <c r="G182" s="7">
        <v>5</v>
      </c>
      <c r="H182" s="8">
        <f t="shared" si="31"/>
        <v>20</v>
      </c>
      <c r="I182" s="6">
        <f>IFERROR(INDEX(TankaData[教材費(標準)],MATCH(E182,TankaData[コース],0)),0)</f>
        <v>7000</v>
      </c>
      <c r="J182" s="6">
        <f t="shared" si="32"/>
        <v>80000</v>
      </c>
      <c r="K182" s="6">
        <f t="shared" si="33"/>
        <v>95700</v>
      </c>
      <c r="L182" t="s">
        <v>425</v>
      </c>
      <c r="M182" s="9" t="s">
        <v>59</v>
      </c>
      <c r="N182" s="10" t="str">
        <f t="shared" si="34"/>
        <v>教室：西校／コース：個別指導S／コマ数：20コマ／授業料：80,000円／教材費：7,000円／消費税：8,700円／請求額：95,700円</v>
      </c>
      <c r="O182" t="str">
        <f t="shared" si="35"/>
        <v>179：竹内花音</v>
      </c>
    </row>
    <row r="183" spans="1:15" hidden="1" outlineLevel="1" x14ac:dyDescent="0.2">
      <c r="A183" s="5">
        <f t="shared" si="30"/>
        <v>180</v>
      </c>
      <c r="B183" t="s">
        <v>426</v>
      </c>
      <c r="C183" s="5" t="s">
        <v>328</v>
      </c>
      <c r="D183" s="5" t="s">
        <v>99</v>
      </c>
      <c r="E183" s="5" t="s">
        <v>42</v>
      </c>
      <c r="F183" s="6">
        <f>IFERROR(INDEX(TankaData[1コマ単価],MATCH(E183,TankaData[コース],0)),0)</f>
        <v>3500</v>
      </c>
      <c r="G183" s="7">
        <v>3</v>
      </c>
      <c r="H183" s="8">
        <f t="shared" si="31"/>
        <v>12</v>
      </c>
      <c r="I183" s="6">
        <f>IFERROR(INDEX(TankaData[教材費(標準)],MATCH(E183,TankaData[コース],0)),0)</f>
        <v>6000</v>
      </c>
      <c r="J183" s="6">
        <f t="shared" si="32"/>
        <v>42000</v>
      </c>
      <c r="K183" s="6">
        <f t="shared" si="33"/>
        <v>52800</v>
      </c>
      <c r="L183" t="s">
        <v>427</v>
      </c>
      <c r="M183" s="9" t="s">
        <v>59</v>
      </c>
      <c r="N183" s="10" t="str">
        <f t="shared" si="34"/>
        <v>教室：西校／コース：個別指導／コマ数：12コマ／授業料：42,000円／教材費：6,000円／消費税：4,800円／請求額：52,800円</v>
      </c>
      <c r="O183" t="str">
        <f t="shared" si="35"/>
        <v>180：前田葵</v>
      </c>
    </row>
    <row r="184" spans="1:15" collapsed="1" x14ac:dyDescent="0.2">
      <c r="A184" s="45" t="s">
        <v>428</v>
      </c>
      <c r="B184" s="46"/>
      <c r="C184" s="46"/>
      <c r="D184" s="46"/>
      <c r="E184" s="46"/>
      <c r="F184" s="11"/>
      <c r="G184" s="11"/>
      <c r="H184" s="12">
        <f>SUM(SeikyuData[コマ数])</f>
        <v>2252</v>
      </c>
      <c r="I184" s="12">
        <f>SUM(SeikyuData[教材費])</f>
        <v>893500</v>
      </c>
      <c r="J184" s="12">
        <f>SUM(SeikyuData[授業料])</f>
        <v>6668800</v>
      </c>
      <c r="K184" s="12">
        <f>SUM(SeikyuData[請求額(税込)])</f>
        <v>8318530</v>
      </c>
      <c r="L184" s="11"/>
    </row>
  </sheetData>
  <mergeCells count="3">
    <mergeCell ref="A184:E184"/>
    <mergeCell ref="B1:D1"/>
    <mergeCell ref="A2:N2"/>
  </mergeCells>
  <phoneticPr fontId="22"/>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9"/>
  <sheetViews>
    <sheetView showGridLines="0" tabSelected="1" workbookViewId="0">
      <selection sqref="A1:C1"/>
    </sheetView>
  </sheetViews>
  <sheetFormatPr defaultRowHeight="13" x14ac:dyDescent="0.2"/>
  <cols>
    <col min="1" max="1" width="27" customWidth="1"/>
    <col min="2" max="2" width="3" customWidth="1"/>
    <col min="3" max="6" width="14" customWidth="1"/>
    <col min="7" max="7" width="4" customWidth="1"/>
    <col min="8" max="8" width="22" customWidth="1"/>
    <col min="9" max="9" width="2" customWidth="1"/>
    <col min="10" max="12" width="16" customWidth="1"/>
    <col min="13" max="13" width="3" customWidth="1"/>
    <col min="14" max="14" width="20" customWidth="1"/>
    <col min="15" max="16" width="12" customWidth="1"/>
  </cols>
  <sheetData>
    <row r="1" spans="1:16" ht="30" x14ac:dyDescent="0.4">
      <c r="A1" s="43" t="s">
        <v>0</v>
      </c>
      <c r="B1" s="23"/>
      <c r="C1" s="23"/>
      <c r="D1" s="13" t="s">
        <v>1</v>
      </c>
      <c r="E1" s="34">
        <f ca="1">TODAY()</f>
        <v>46252</v>
      </c>
      <c r="F1" s="23"/>
      <c r="H1" s="28" t="s">
        <v>2</v>
      </c>
      <c r="I1" s="23"/>
      <c r="J1" s="23"/>
      <c r="K1" s="23"/>
      <c r="L1" s="23"/>
      <c r="N1" s="29" t="s">
        <v>3</v>
      </c>
      <c r="O1" s="23"/>
      <c r="P1" s="23"/>
    </row>
    <row r="2" spans="1:16" ht="14" x14ac:dyDescent="0.2">
      <c r="A2" s="14" t="s">
        <v>4</v>
      </c>
      <c r="D2" s="13" t="s">
        <v>5</v>
      </c>
      <c r="E2" s="40" t="str">
        <f>IFERROR(INDEX(SeikyuData[No],MATCH($J$6,SeikyuData[No],0)),"")</f>
        <v/>
      </c>
      <c r="F2" s="23"/>
      <c r="H2" s="15" t="s">
        <v>6</v>
      </c>
      <c r="N2" s="25" t="s">
        <v>7</v>
      </c>
      <c r="O2" s="23"/>
      <c r="P2" s="23"/>
    </row>
    <row r="3" spans="1:16" x14ac:dyDescent="0.2">
      <c r="H3" s="27" t="s">
        <v>8</v>
      </c>
      <c r="I3" s="23"/>
      <c r="J3" s="23"/>
      <c r="K3" s="23"/>
      <c r="N3" s="32" t="s">
        <v>9</v>
      </c>
      <c r="O3" s="23"/>
      <c r="P3" s="23"/>
    </row>
    <row r="4" spans="1:16" ht="19" x14ac:dyDescent="0.3">
      <c r="A4" s="37" t="str">
        <f>IF($J$6="","（右の操作パネルでNoか生徒名を選択してください）",$J$7&amp;"　様")</f>
        <v>（右の操作パネルでNoか生徒名を選択してください）</v>
      </c>
      <c r="B4" s="23"/>
      <c r="C4" s="23"/>
      <c r="D4" s="23"/>
      <c r="E4" s="23"/>
      <c r="F4" s="23"/>
      <c r="H4" s="16" t="s">
        <v>10</v>
      </c>
      <c r="J4" s="38"/>
      <c r="K4" s="39"/>
      <c r="N4" s="23"/>
      <c r="O4" s="23"/>
      <c r="P4" s="23"/>
    </row>
    <row r="5" spans="1:16" ht="16.5" x14ac:dyDescent="0.25">
      <c r="A5" s="30" t="s">
        <v>11</v>
      </c>
      <c r="B5" s="23"/>
      <c r="C5" s="23"/>
      <c r="D5" s="23"/>
      <c r="E5" s="23"/>
      <c r="F5" s="23"/>
      <c r="H5" s="16" t="s">
        <v>12</v>
      </c>
      <c r="J5" s="41"/>
      <c r="K5" s="42"/>
      <c r="L5" s="39"/>
    </row>
    <row r="6" spans="1:16" ht="15.5" x14ac:dyDescent="0.25">
      <c r="H6" s="16" t="s">
        <v>13</v>
      </c>
      <c r="J6" s="24" t="str">
        <f>IF($J$4&lt;&gt;"",IF(COUNTIF(SeikyuData[No],$J$4)=0,"⚠ 該当するNoがありません",$J$4),IF($J$5&lt;&gt;"",VALUE(LEFT($J$5,FIND("：",$J$5)-1)),""))</f>
        <v/>
      </c>
      <c r="K6" s="23"/>
      <c r="L6" s="23"/>
    </row>
    <row r="7" spans="1:16" ht="15.5" x14ac:dyDescent="0.25">
      <c r="A7" s="18" t="s">
        <v>14</v>
      </c>
      <c r="H7" s="16" t="s">
        <v>15</v>
      </c>
      <c r="J7" s="24" t="str">
        <f>IFERROR(INDEX(SeikyuData[生徒名],MATCH($J$6,SeikyuData[No],0)),"")</f>
        <v/>
      </c>
      <c r="K7" s="23"/>
      <c r="L7" s="23"/>
    </row>
    <row r="8" spans="1:16" ht="14" x14ac:dyDescent="0.2">
      <c r="A8" s="19" t="s">
        <v>16</v>
      </c>
      <c r="C8" s="23" t="str">
        <f>IFERROR(INDEX(SeikyuData[教室],MATCH($J$6,SeikyuData[No],0)),"")</f>
        <v/>
      </c>
      <c r="D8" s="23"/>
      <c r="E8" s="23"/>
      <c r="H8" s="18" t="s">
        <v>17</v>
      </c>
    </row>
    <row r="9" spans="1:16" x14ac:dyDescent="0.2">
      <c r="A9" s="19" t="s">
        <v>18</v>
      </c>
      <c r="C9" s="23" t="str">
        <f>IFERROR(INDEX(SeikyuData[学年],MATCH($J$6,SeikyuData[No],0)),"")</f>
        <v/>
      </c>
      <c r="D9" s="23"/>
      <c r="E9" s="23"/>
      <c r="H9" t="s">
        <v>19</v>
      </c>
      <c r="J9" s="23" t="str">
        <f>IFERROR(INDEX(SeikyuData[保護者メール],MATCH($J$6,SeikyuData[No],0)),"")</f>
        <v/>
      </c>
      <c r="K9" s="23"/>
      <c r="L9" s="23"/>
    </row>
    <row r="10" spans="1:16" x14ac:dyDescent="0.2">
      <c r="A10" s="19" t="s">
        <v>20</v>
      </c>
      <c r="C10" s="23" t="str">
        <f>IFERROR(INDEX(SeikyuData[コース],MATCH($J$6,SeikyuData[No],0)),"")</f>
        <v/>
      </c>
      <c r="D10" s="23"/>
      <c r="E10" s="23"/>
      <c r="H10" t="s">
        <v>21</v>
      </c>
      <c r="J10" s="23" t="str">
        <f>$J$7 &amp; "様 2026年8月分請求のお知らせ"</f>
        <v>様 2026年8月分請求のお知らせ</v>
      </c>
      <c r="K10" s="23"/>
      <c r="L10" s="23"/>
    </row>
    <row r="11" spans="1:16" ht="14" x14ac:dyDescent="0.2">
      <c r="A11" s="19" t="s">
        <v>22</v>
      </c>
      <c r="C11" s="22" t="str">
        <f>IFERROR(INDEX(SeikyuData[1コマ単価],MATCH($J$6,SeikyuData[No],0)),"")</f>
        <v/>
      </c>
      <c r="D11" s="23"/>
      <c r="E11" s="23"/>
      <c r="J11" s="25" t="str">
        <f>IF($J$6="","",HYPERLINK("https://mail.google.com/mail/?view=cm&amp;fs=1&amp;to=" &amp; _xlfn.ENCODEURL(IFERROR(INDEX(SeikyuData[保護者メール],MATCH($J$6,SeikyuData[No],0)),"")) &amp; "&amp;su=" &amp; _xlfn.ENCODEURL($J$7 &amp; "様 2026年8月分請求のお知らせ"),"📧 Gmail作成画面を開く（宛先・件名 入力済み）"))</f>
        <v/>
      </c>
      <c r="K11" s="23"/>
      <c r="L11" s="23"/>
    </row>
    <row r="12" spans="1:16" x14ac:dyDescent="0.2">
      <c r="A12" s="19" t="s">
        <v>23</v>
      </c>
      <c r="C12" s="31" t="str">
        <f>IFERROR(INDEX(SeikyuData[週コマ数],MATCH($J$6,SeikyuData[No],0)),"")</f>
        <v/>
      </c>
      <c r="D12" s="23"/>
      <c r="E12" s="23"/>
      <c r="J12" s="32" t="s">
        <v>24</v>
      </c>
      <c r="K12" s="23"/>
      <c r="L12" s="23"/>
    </row>
    <row r="13" spans="1:16" x14ac:dyDescent="0.2">
      <c r="A13" s="19" t="s">
        <v>25</v>
      </c>
      <c r="C13" s="31" t="str">
        <f>IFERROR(INDEX(SeikyuData[コマ数],MATCH($J$6,SeikyuData[No],0)),"")</f>
        <v/>
      </c>
      <c r="D13" s="23"/>
      <c r="E13" s="23"/>
    </row>
    <row r="14" spans="1:16" x14ac:dyDescent="0.2">
      <c r="A14" s="19" t="s">
        <v>26</v>
      </c>
      <c r="C14" s="22" t="str">
        <f>IFERROR(INDEX(SeikyuData[教材費],MATCH($J$6,SeikyuData[No],0)),"")</f>
        <v/>
      </c>
      <c r="D14" s="23"/>
      <c r="E14" s="23"/>
      <c r="H14" s="16" t="s">
        <v>27</v>
      </c>
    </row>
    <row r="15" spans="1:16" x14ac:dyDescent="0.2">
      <c r="A15" s="19" t="s">
        <v>28</v>
      </c>
      <c r="C15" s="22" t="str">
        <f>IFERROR(INDEX(SeikyuData[授業料],MATCH($J$6,SeikyuData[No],0)),"")</f>
        <v/>
      </c>
      <c r="D15" s="23"/>
      <c r="E15" s="23"/>
      <c r="H15" s="26" t="str">
        <f ca="1">IF($J$6="","生徒名を選択すると本文が生成されます。",$J$7&amp;"様"&amp;CHAR(10)&amp;CHAR(10)&amp;"いつもお世話になっております。さくら学習塾です。"&amp;CHAR(10)&amp;"2026年8月分の請求内容は以下の通りです。"&amp;CHAR(10)&amp;CHAR(10)&amp;"教室：　"&amp;IFERROR(INDEX(SeikyuData[教室],MATCH($J$6,SeikyuData[No],0)),"")&amp;CHAR(10)&amp;"コース：　"&amp;IFERROR(INDEX(SeikyuData[コース],MATCH($J$6,SeikyuData[No],0)),"")&amp;CHAR(10)&amp;"コマ数：　"&amp;IFERROR(INDEX(SeikyuData[コマ数],MATCH($J$6,SeikyuData[No],0)),"")&amp;"コマ"&amp;CHAR(10)&amp;"授業料：　"&amp;TEXT(IFERROR(INDEX(SeikyuData[授業料],MATCH($J$6,SeikyuData[No],0)),""),"#,##0")&amp;"円"&amp;CHAR(10)&amp;"教材費：　"&amp;TEXT(IFERROR(INDEX(SeikyuData[教材費],MATCH($J$6,SeikyuData[No],0)),""),"#,##0")&amp;"円"&amp;CHAR(10)&amp;"消費税：　"&amp;TEXT(ROUND((IFERROR(INDEX(SeikyuData[授業料],MATCH($J$6,SeikyuData[No],0)),"")+IFERROR(INDEX(SeikyuData[教材費],MATCH($J$6,SeikyuData[No],0)),""))*0.1,0),"#,##0")&amp;"円"&amp;CHAR(10)&amp;"----------------"&amp;CHAR(10)&amp;"ご請求額：　"&amp;TEXT(IFERROR(INDEX(SeikyuData[請求額(税込)],MATCH($J$6,SeikyuData[No],0)),""),"#,##0")&amp;"円"&amp;CHAR(10)&amp;CHAR(10)&amp;"振込先：　〇〇銀行 〇〇支店　普通　1234567　口座名義：サクラガクシュウジュク"&amp;CHAR(10)&amp;"支払期日：　"&amp;TEXT(TODAY()+14,"yyyy/mm/dd")&amp;CHAR(10)&amp;CHAR(10)&amp;"お手数ですが、期日までにお振込みくださいますようお願いいたします。")</f>
        <v>生徒名を選択すると本文が生成されます。</v>
      </c>
      <c r="I15" s="23"/>
      <c r="J15" s="23"/>
      <c r="K15" s="23"/>
      <c r="L15" s="23"/>
    </row>
    <row r="16" spans="1:16" x14ac:dyDescent="0.2">
      <c r="A16" s="19" t="s">
        <v>29</v>
      </c>
      <c r="C16" s="22" t="str">
        <f>IFERROR(ROUND((INDEX(SeikyuData[授業料],MATCH($J$6,SeikyuData[No],0))+INDEX(SeikyuData[教材費],MATCH($J$6,SeikyuData[No],0)))*0.1,0),"")</f>
        <v/>
      </c>
      <c r="D16" s="23"/>
      <c r="E16" s="23"/>
      <c r="H16" s="23"/>
      <c r="I16" s="23"/>
      <c r="J16" s="23"/>
      <c r="K16" s="23"/>
      <c r="L16" s="23"/>
    </row>
    <row r="17" spans="1:12" ht="16.5" x14ac:dyDescent="0.25">
      <c r="A17" s="1" t="s">
        <v>30</v>
      </c>
      <c r="B17" s="2"/>
      <c r="C17" s="35" t="str">
        <f>IFERROR(INDEX(SeikyuData[請求額(税込)],MATCH($J$6,SeikyuData[No],0)),"")</f>
        <v/>
      </c>
      <c r="D17" s="36"/>
      <c r="E17" s="36"/>
      <c r="F17" s="2"/>
      <c r="H17" s="23"/>
      <c r="I17" s="23"/>
      <c r="J17" s="23"/>
      <c r="K17" s="23"/>
      <c r="L17" s="23"/>
    </row>
    <row r="18" spans="1:12" x14ac:dyDescent="0.2">
      <c r="H18" s="23"/>
      <c r="I18" s="23"/>
      <c r="J18" s="23"/>
      <c r="K18" s="23"/>
      <c r="L18" s="23"/>
    </row>
    <row r="19" spans="1:12" x14ac:dyDescent="0.2">
      <c r="A19" s="20" t="s">
        <v>31</v>
      </c>
      <c r="B19" s="30" t="s">
        <v>32</v>
      </c>
      <c r="C19" s="23"/>
      <c r="D19" s="23"/>
      <c r="E19" s="23"/>
      <c r="F19" s="23"/>
      <c r="H19" s="23"/>
      <c r="I19" s="23"/>
      <c r="J19" s="23"/>
      <c r="K19" s="23"/>
      <c r="L19" s="23"/>
    </row>
    <row r="20" spans="1:12" x14ac:dyDescent="0.2">
      <c r="A20" s="20" t="s">
        <v>33</v>
      </c>
      <c r="B20" s="44">
        <f ca="1">TODAY()+14</f>
        <v>46266</v>
      </c>
      <c r="C20" s="23"/>
      <c r="D20" s="23"/>
      <c r="E20" s="23"/>
      <c r="F20" s="23"/>
      <c r="H20" s="23"/>
      <c r="I20" s="23"/>
      <c r="J20" s="23"/>
      <c r="K20" s="23"/>
      <c r="L20" s="23"/>
    </row>
    <row r="21" spans="1:12" x14ac:dyDescent="0.2">
      <c r="A21" s="30" t="s">
        <v>34</v>
      </c>
      <c r="B21" s="23"/>
      <c r="C21" s="23"/>
      <c r="D21" s="23"/>
      <c r="E21" s="23"/>
      <c r="F21" s="23"/>
      <c r="H21" s="23"/>
      <c r="I21" s="23"/>
      <c r="J21" s="23"/>
      <c r="K21" s="23"/>
      <c r="L21" s="23"/>
    </row>
    <row r="22" spans="1:12" x14ac:dyDescent="0.2">
      <c r="H22" s="23"/>
      <c r="I22" s="23"/>
      <c r="J22" s="23"/>
      <c r="K22" s="23"/>
      <c r="L22" s="23"/>
    </row>
    <row r="23" spans="1:12" x14ac:dyDescent="0.2">
      <c r="A23" s="17" t="s">
        <v>35</v>
      </c>
      <c r="D23" s="13" t="s">
        <v>36</v>
      </c>
      <c r="E23" s="23" t="s">
        <v>37</v>
      </c>
      <c r="F23" s="23"/>
      <c r="H23" s="23"/>
      <c r="I23" s="23"/>
      <c r="J23" s="23"/>
      <c r="K23" s="23"/>
      <c r="L23" s="23"/>
    </row>
    <row r="24" spans="1:12" x14ac:dyDescent="0.2">
      <c r="H24" s="23"/>
      <c r="I24" s="23"/>
      <c r="J24" s="23"/>
      <c r="K24" s="23"/>
      <c r="L24" s="23"/>
    </row>
    <row r="25" spans="1:12" x14ac:dyDescent="0.2">
      <c r="H25" s="23"/>
      <c r="I25" s="23"/>
      <c r="J25" s="23"/>
      <c r="K25" s="23"/>
      <c r="L25" s="23"/>
    </row>
    <row r="26" spans="1:12" x14ac:dyDescent="0.2">
      <c r="H26" s="23"/>
      <c r="I26" s="23"/>
      <c r="J26" s="23"/>
      <c r="K26" s="23"/>
      <c r="L26" s="23"/>
    </row>
    <row r="27" spans="1:12" x14ac:dyDescent="0.2">
      <c r="H27" s="23"/>
      <c r="I27" s="23"/>
      <c r="J27" s="23"/>
      <c r="K27" s="23"/>
      <c r="L27" s="23"/>
    </row>
    <row r="28" spans="1:12" x14ac:dyDescent="0.2">
      <c r="H28" s="23"/>
      <c r="I28" s="23"/>
      <c r="J28" s="23"/>
      <c r="K28" s="23"/>
      <c r="L28" s="23"/>
    </row>
    <row r="29" spans="1:12" x14ac:dyDescent="0.2">
      <c r="H29" s="23"/>
      <c r="I29" s="23"/>
      <c r="J29" s="23"/>
      <c r="K29" s="23"/>
      <c r="L29" s="23"/>
    </row>
    <row r="30" spans="1:12" x14ac:dyDescent="0.2">
      <c r="H30" s="23"/>
      <c r="I30" s="23"/>
      <c r="J30" s="23"/>
      <c r="K30" s="23"/>
      <c r="L30" s="23"/>
    </row>
    <row r="32" spans="1:12" ht="14" x14ac:dyDescent="0.2">
      <c r="J32" s="33" t="s">
        <v>38</v>
      </c>
      <c r="K32" s="23"/>
      <c r="L32" s="23"/>
    </row>
    <row r="33" spans="10:12" x14ac:dyDescent="0.2">
      <c r="J33" s="32" t="s">
        <v>39</v>
      </c>
      <c r="K33" s="23"/>
      <c r="L33" s="23"/>
    </row>
    <row r="34" spans="10:12" x14ac:dyDescent="0.2">
      <c r="J34" s="23"/>
      <c r="K34" s="23"/>
      <c r="L34" s="23"/>
    </row>
    <row r="35" spans="10:12" x14ac:dyDescent="0.2">
      <c r="J35" t="s">
        <v>20</v>
      </c>
      <c r="K35" t="s">
        <v>22</v>
      </c>
      <c r="L35" t="s">
        <v>40</v>
      </c>
    </row>
    <row r="36" spans="10:12" x14ac:dyDescent="0.2">
      <c r="J36" t="s">
        <v>41</v>
      </c>
      <c r="K36" s="21">
        <v>4000</v>
      </c>
      <c r="L36" s="21">
        <v>7000</v>
      </c>
    </row>
    <row r="37" spans="10:12" x14ac:dyDescent="0.2">
      <c r="J37" t="s">
        <v>42</v>
      </c>
      <c r="K37" s="21">
        <v>3500</v>
      </c>
      <c r="L37" s="21">
        <v>6000</v>
      </c>
    </row>
    <row r="38" spans="10:12" x14ac:dyDescent="0.2">
      <c r="J38" t="s">
        <v>43</v>
      </c>
      <c r="K38" s="21">
        <v>2500</v>
      </c>
      <c r="L38" s="21">
        <v>4500</v>
      </c>
    </row>
    <row r="39" spans="10:12" x14ac:dyDescent="0.2">
      <c r="J39" t="s">
        <v>44</v>
      </c>
      <c r="K39" s="21">
        <v>2100</v>
      </c>
      <c r="L39" s="21">
        <v>3000</v>
      </c>
    </row>
  </sheetData>
  <mergeCells count="35">
    <mergeCell ref="J33:L34"/>
    <mergeCell ref="J7:L7"/>
    <mergeCell ref="C11:E11"/>
    <mergeCell ref="J32:L32"/>
    <mergeCell ref="E1:F1"/>
    <mergeCell ref="A5:F5"/>
    <mergeCell ref="C8:E8"/>
    <mergeCell ref="C17:E17"/>
    <mergeCell ref="A4:F4"/>
    <mergeCell ref="J12:L12"/>
    <mergeCell ref="J4:K4"/>
    <mergeCell ref="C13:E13"/>
    <mergeCell ref="E2:F2"/>
    <mergeCell ref="B19:F19"/>
    <mergeCell ref="C15:E15"/>
    <mergeCell ref="J5:L5"/>
    <mergeCell ref="H1:L1"/>
    <mergeCell ref="N1:P1"/>
    <mergeCell ref="A21:F21"/>
    <mergeCell ref="C12:E12"/>
    <mergeCell ref="J11:L11"/>
    <mergeCell ref="N3:P4"/>
    <mergeCell ref="C14:E14"/>
    <mergeCell ref="J10:L10"/>
    <mergeCell ref="A1:C1"/>
    <mergeCell ref="B20:F20"/>
    <mergeCell ref="J9:L9"/>
    <mergeCell ref="C10:E10"/>
    <mergeCell ref="C16:E16"/>
    <mergeCell ref="J6:L6"/>
    <mergeCell ref="N2:P2"/>
    <mergeCell ref="H15:L30"/>
    <mergeCell ref="H3:K3"/>
    <mergeCell ref="C9:E9"/>
    <mergeCell ref="E23:F23"/>
  </mergeCells>
  <phoneticPr fontId="22"/>
  <hyperlinks>
    <hyperlink ref="N2" r:id="rId1" xr:uid="{00000000-0004-0000-0100-000000000000}"/>
    <hyperlink ref="H3" r:id="rId2" xr:uid="{00000000-0004-0000-0100-000001000000}"/>
  </hyperlinks>
  <pageMargins left="0.75" right="0.75" top="1" bottom="1" header="0.5" footer="0.5"/>
  <pageSetup orientation="portrait"/>
  <legacyDrawing r:id="rId3"/>
  <tableParts count="1">
    <tablePart r:id="rId4"/>
  </tableParts>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100-000000000000}">
          <x14:formula1>
            <xm:f>1</xm:f>
          </x14:formula1>
          <x14:formula2>
            <xm:f>COUNTA(月末請求一覧!$O$4:$O$183)</xm:f>
          </x14:formula2>
          <xm:sqref>J4</xm:sqref>
        </x14:dataValidation>
        <x14:dataValidation type="list" allowBlank="1" showErrorMessage="1" errorTitle="入力エラー" error="一覧表にある「No：生徒名」から選択してください。" xr:uid="{00000000-0002-0000-0100-000001000000}">
          <x14:formula1>
            <xm:f>月末請求一覧!$O$4:$O$183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月末請求一覧</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dcterms:created xsi:type="dcterms:W3CDTF">2026-08-18T14:28:34Z</dcterms:created>
  <dcterms:modified xsi:type="dcterms:W3CDTF">2026-08-18T14:29:12Z</dcterms:modified>
</cp:coreProperties>
</file>