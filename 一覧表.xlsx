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請求書" sheetId="1" state="visible" r:id="rId1"/>
    <sheet name="月末請求一覧" sheetId="2" state="visible" r:id="rId2"/>
  </sheets>
  <definedNames>
    <definedName name="_xlnm.Print_Area" localSheetId="0">'請求書'!$A$1:$F$24</definedName>
  </definedNames>
  <calcPr calcId="124519" fullCalcOnLoad="1"/>
</workbook>
</file>

<file path=xl/styles.xml><?xml version="1.0" encoding="utf-8"?>
<styleSheet xmlns="http://schemas.openxmlformats.org/spreadsheetml/2006/main">
  <numFmts count="1">
    <numFmt numFmtId="164" formatCode="yyyy/mm/dd"/>
  </numFmts>
  <fonts count="22">
    <font>
      <name val="Calibri"/>
      <family val="2"/>
      <color theme="1"/>
      <sz val="11"/>
      <scheme val="minor"/>
    </font>
    <font>
      <b val="1"/>
      <sz val="12"/>
    </font>
    <font>
      <b val="1"/>
      <color rgb="FFC00000"/>
      <sz val="12"/>
    </font>
    <font>
      <i val="1"/>
      <color rgb="FF5B6472"/>
      <sz val="10"/>
    </font>
    <font>
      <b val="1"/>
    </font>
    <font>
      <color rgb="FF1155CC"/>
      <u val="single"/>
    </font>
    <font>
      <color rgb="FF3B4453"/>
      <sz val="10"/>
    </font>
    <font>
      <b val="1"/>
      <color rgb="FF223757"/>
      <sz val="26"/>
    </font>
    <font>
      <color rgb="FF5B6472"/>
      <sz val="11"/>
    </font>
    <font>
      <b val="1"/>
      <color rgb="FF223757"/>
      <sz val="16"/>
    </font>
    <font>
      <sz val="10"/>
    </font>
    <font/>
    <font>
      <b val="1"/>
      <color rgb="FFC00000"/>
      <sz val="14"/>
    </font>
    <font>
      <b val="1"/>
      <sz val="10"/>
    </font>
    <font>
      <b val="1"/>
      <color rgb="FF5B6472"/>
      <sz val="10"/>
    </font>
    <font>
      <i val="1"/>
      <color rgb="FF5B6472"/>
      <sz val="9"/>
    </font>
    <font>
      <b val="1"/>
      <color rgb="FF1155CC"/>
      <u val="single"/>
    </font>
    <font>
      <b val="1"/>
      <color rgb="FF1155CC"/>
      <sz val="12"/>
      <u val="single"/>
    </font>
    <font>
      <color rgb="FF5B6472"/>
      <sz val="9"/>
    </font>
    <font>
      <b val="1"/>
      <sz val="14"/>
    </font>
    <font>
      <b val="1"/>
      <color rgb="FF223757"/>
      <sz val="13"/>
    </font>
    <font>
      <b val="1"/>
      <color rgb="FF223757"/>
      <sz val="12"/>
    </font>
  </fonts>
  <fills count="6">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F2F2F2"/>
        <bgColor rgb="FFF2F2F2"/>
      </patternFill>
    </fill>
    <fill>
      <patternFill patternType="solid">
        <fgColor rgb="FFE2EFDA"/>
        <bgColor rgb="FFE2EFDA"/>
      </patternFill>
    </fill>
  </fills>
  <borders count="15">
    <border>
      <left/>
      <right/>
      <top/>
      <bottom/>
      <diagonal/>
    </border>
    <border>
      <left style="thin">
        <color rgb="FFB0B0B0"/>
      </left>
      <right style="thin">
        <color rgb="FFB0B0B0"/>
      </right>
      <top style="thin">
        <color rgb="FFB0B0B0"/>
      </top>
      <bottom style="thin">
        <color rgb="FFB0B0B0"/>
      </bottom>
    </border>
    <border>
      <left style="medium">
        <color rgb="FF2F7D68"/>
      </left>
      <right style="medium">
        <color rgb="FF2F7D68"/>
      </right>
      <top style="medium">
        <color rgb="FF2F7D68"/>
      </top>
      <bottom style="medium">
        <color rgb="FF2F7D68"/>
      </bottom>
    </border>
    <border>
      <left/>
      <right/>
      <top style="medium">
        <color rgb="FF2F7D68"/>
      </top>
      <bottom/>
      <diagonal/>
    </border>
    <border>
      <left style="medium">
        <color rgb="FF2F7D68"/>
      </left>
      <right/>
      <top/>
      <bottom/>
      <diagonal/>
    </border>
    <border>
      <left/>
      <right style="medium">
        <color rgb="FF2F7D68"/>
      </right>
      <top style="medium">
        <color rgb="FF2F7D68"/>
      </top>
      <bottom/>
      <diagonal/>
    </border>
    <border>
      <left/>
      <right style="medium">
        <color rgb="FF2F7D68"/>
      </right>
      <top/>
      <bottom/>
      <diagonal/>
    </border>
    <border>
      <left style="medium">
        <color rgb="FF2F7D68"/>
      </left>
      <right/>
      <top/>
      <bottom style="medium">
        <color rgb="FF2F7D68"/>
      </bottom>
      <diagonal/>
    </border>
    <border>
      <left/>
      <right/>
      <top/>
      <bottom style="medium">
        <color rgb="FF2F7D68"/>
      </bottom>
      <diagonal/>
    </border>
    <border>
      <left/>
      <right style="medium">
        <color rgb="FF2F7D68"/>
      </right>
      <top/>
      <bottom style="medium">
        <color rgb="FF2F7D68"/>
      </bottom>
      <diagonal/>
    </border>
    <border>
      <left style="medium">
        <color rgb="FF223757"/>
      </left>
      <right style="medium">
        <color rgb="FF223757"/>
      </right>
      <top style="medium">
        <color rgb="FF223757"/>
      </top>
      <bottom style="medium">
        <color rgb="FF223757"/>
      </bottom>
    </border>
    <border>
      <left/>
      <right/>
      <top style="medium">
        <color rgb="FF223757"/>
      </top>
      <bottom/>
      <diagonal/>
    </border>
    <border>
      <left/>
      <right style="medium">
        <color rgb="FF223757"/>
      </right>
      <top style="medium">
        <color rgb="FF223757"/>
      </top>
      <bottom/>
      <diagonal/>
    </border>
    <border>
      <left/>
      <right style="medium">
        <color rgb="FF223757"/>
      </right>
      <top style="medium">
        <color rgb="FF223757"/>
      </top>
      <bottom style="medium">
        <color rgb="FF223757"/>
      </bottom>
      <diagonal/>
    </border>
    <border>
      <left/>
      <right/>
      <top style="medium">
        <color rgb="FF223757"/>
      </top>
      <bottom style="medium">
        <color rgb="FF223757"/>
      </bottom>
      <diagonal/>
    </border>
  </borders>
  <cellStyleXfs count="1">
    <xf numFmtId="0" fontId="0" fillId="0" borderId="0"/>
  </cellStyleXfs>
  <cellXfs count="49">
    <xf numFmtId="0" fontId="0" fillId="0" borderId="0" pivotButton="0" quotePrefix="0" xfId="0"/>
    <xf numFmtId="0" fontId="7" fillId="0" borderId="0" pivotButton="0" quotePrefix="0" xfId="0"/>
    <xf numFmtId="0" fontId="0" fillId="0" borderId="0" applyAlignment="1" pivotButton="0" quotePrefix="0" xfId="0">
      <alignment horizontal="right"/>
    </xf>
    <xf numFmtId="164" fontId="0" fillId="0" borderId="0" pivotButton="0" quotePrefix="0" xfId="0"/>
    <xf numFmtId="0" fontId="14" fillId="4" borderId="0" pivotButton="0" quotePrefix="0" xfId="0"/>
    <xf numFmtId="0" fontId="14" fillId="0" borderId="0" pivotButton="0" quotePrefix="0" xfId="0"/>
    <xf numFmtId="0" fontId="8" fillId="0" borderId="0" pivotButton="0" quotePrefix="0" xfId="0"/>
    <xf numFmtId="0" fontId="0" fillId="0" borderId="0" applyAlignment="1" pivotButton="0" quotePrefix="0" xfId="0">
      <alignment horizontal="left"/>
    </xf>
    <xf numFmtId="0" fontId="15" fillId="0" borderId="0" pivotButton="0" quotePrefix="0" xfId="0"/>
    <xf numFmtId="0" fontId="17" fillId="5" borderId="0" pivotButton="0" quotePrefix="0" xfId="0"/>
    <xf numFmtId="0" fontId="16" fillId="0" borderId="0" pivotButton="0" quotePrefix="0" xfId="0"/>
    <xf numFmtId="0" fontId="18" fillId="0" borderId="0" applyAlignment="1" pivotButton="0" quotePrefix="0" xfId="0">
      <alignment vertical="top" wrapText="1"/>
    </xf>
    <xf numFmtId="0" fontId="9" fillId="0" borderId="0" pivotButton="0" quotePrefix="0" xfId="0"/>
    <xf numFmtId="0" fontId="4" fillId="0" borderId="0" pivotButton="0" quotePrefix="0" xfId="0"/>
    <xf numFmtId="0" fontId="19" fillId="3" borderId="10" applyAlignment="1" pivotButton="0" quotePrefix="0" xfId="0">
      <alignment horizontal="center"/>
    </xf>
    <xf numFmtId="0" fontId="0" fillId="0" borderId="13" pivotButton="0" quotePrefix="0" xfId="0"/>
    <xf numFmtId="0" fontId="10" fillId="0" borderId="0" pivotButton="0" quotePrefix="0" xfId="0"/>
    <xf numFmtId="0" fontId="19" fillId="3" borderId="10" pivotButton="0" quotePrefix="0" xfId="0"/>
    <xf numFmtId="0" fontId="0" fillId="0" borderId="14" pivotButton="0" quotePrefix="0" xfId="0"/>
    <xf numFmtId="0" fontId="20" fillId="0" borderId="0" pivotButton="0" quotePrefix="0" xfId="0"/>
    <xf numFmtId="0" fontId="17" fillId="5" borderId="2" applyAlignment="1" pivotButton="0" quotePrefix="0" xfId="0">
      <alignment horizontal="center" vertical="center" wrapText="1"/>
    </xf>
    <xf numFmtId="0" fontId="0" fillId="0" borderId="3" pivotButton="0" quotePrefix="0" xfId="0"/>
    <xf numFmtId="0" fontId="0" fillId="0" borderId="5" pivotButton="0" quotePrefix="0" xfId="0"/>
    <xf numFmtId="0" fontId="1" fillId="0" borderId="0" pivotButton="0" quotePrefix="0" xfId="0"/>
    <xf numFmtId="0" fontId="0" fillId="0" borderId="7" pivotButton="0" quotePrefix="0" xfId="0"/>
    <xf numFmtId="0" fontId="0" fillId="0" borderId="8" pivotButton="0" quotePrefix="0" xfId="0"/>
    <xf numFmtId="0" fontId="0" fillId="0" borderId="9" pivotButton="0" quotePrefix="0" xfId="0"/>
    <xf numFmtId="0" fontId="11" fillId="0" borderId="0" pivotButton="0" quotePrefix="0" xfId="0"/>
    <xf numFmtId="3" fontId="0" fillId="0" borderId="0" pivotButton="0" quotePrefix="0" xfId="0"/>
    <xf numFmtId="1" fontId="0" fillId="0" borderId="0" pivotButton="0" quotePrefix="0" xfId="0"/>
    <xf numFmtId="0" fontId="0" fillId="0" borderId="1" applyAlignment="1" pivotButton="0" quotePrefix="0" xfId="0">
      <alignment horizontal="left" vertical="top" wrapText="1"/>
    </xf>
    <xf numFmtId="0" fontId="1" fillId="2" borderId="0" pivotButton="0" quotePrefix="0" xfId="0"/>
    <xf numFmtId="0" fontId="0" fillId="2" borderId="0" pivotButton="0" quotePrefix="0" xfId="0"/>
    <xf numFmtId="3" fontId="12" fillId="2" borderId="0" pivotButton="0" quotePrefix="0" xfId="0"/>
    <xf numFmtId="0" fontId="13" fillId="0" borderId="0" pivotButton="0" quotePrefix="0" xfId="0"/>
    <xf numFmtId="164" fontId="10" fillId="0" borderId="0" pivotButton="0" quotePrefix="0" xfId="0"/>
    <xf numFmtId="0" fontId="21" fillId="0" borderId="0" pivotButton="0" quotePrefix="0" xfId="0"/>
    <xf numFmtId="3" fontId="0" fillId="3" borderId="0" pivotButton="0" quotePrefix="0" xfId="0"/>
    <xf numFmtId="3" fontId="2" fillId="2" borderId="0" pivotButton="0" quotePrefix="0" xfId="0"/>
    <xf numFmtId="0" fontId="3" fillId="0" borderId="0" applyAlignment="1" pivotButton="0" quotePrefix="0" xfId="0">
      <alignment vertical="center"/>
    </xf>
    <xf numFmtId="0" fontId="0" fillId="0" borderId="0" applyAlignment="1" pivotButton="0" quotePrefix="0" xfId="0">
      <alignment horizontal="center" vertical="center"/>
    </xf>
    <xf numFmtId="0" fontId="4" fillId="0" borderId="0" applyAlignment="1" pivotButton="0" quotePrefix="0" xfId="0">
      <alignment horizontal="center" vertical="center"/>
    </xf>
    <xf numFmtId="0" fontId="0" fillId="0" borderId="0" applyAlignment="1" pivotButton="0" quotePrefix="0" xfId="0">
      <alignment horizontal="center"/>
    </xf>
    <xf numFmtId="1" fontId="0" fillId="3" borderId="0" applyAlignment="1" pivotButton="0" quotePrefix="0" xfId="0">
      <alignment horizontal="center"/>
    </xf>
    <xf numFmtId="0" fontId="5" fillId="0" borderId="0" applyAlignment="1" pivotButton="0" quotePrefix="0" xfId="0">
      <alignment horizontal="center"/>
    </xf>
    <xf numFmtId="0" fontId="6" fillId="0" borderId="0" pivotButton="0" quotePrefix="0" xfId="0"/>
    <xf numFmtId="0" fontId="4" fillId="3" borderId="1" applyAlignment="1" pivotButton="0" quotePrefix="0" xfId="0">
      <alignment horizontal="center"/>
    </xf>
    <xf numFmtId="0" fontId="0" fillId="3" borderId="1" pivotButton="0" quotePrefix="0" xfId="0"/>
    <xf numFmtId="3"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使い方ガイド</author>
  </authors>
  <commentList>
    <comment ref="J4" authorId="0" shapeId="0">
      <text>
        <t>✏ ここに一覧表シートの「No」（生徒番号）を入力してください。
①か②のどちらか一方に入力すればOKです。</t>
      </text>
    </comment>
    <comment ref="J5" authorId="0" shapeId="0">
      <text>
        <t>✏ セルをクリックすると▼が出るので、「No：生徒名」の形式から選んでください。
同姓同名がいてもNo付きなので取り違えずに選べます。</t>
      </text>
    </comment>
    <comment ref="K35" authorId="0" shapeId="0">
      <text>
        <t>✏ ここが入力欄です。
数字を書き換えると、一覧表の該当コースを選んでいる生徒全員の金額に自動で反映されます。</t>
      </text>
    </comment>
  </commentList>
</comments>
</file>

<file path=xl/comments/comment2.xml><?xml version="1.0" encoding="utf-8"?>
<comments xmlns="http://schemas.openxmlformats.org/spreadsheetml/2006/main">
  <authors>
    <author>使い方ガイド</author>
  </authors>
  <commentList>
    <comment ref="G3" authorId="0" shapeId="0">
      <text>
        <t>✏ 入力してよいのはこの列だけです。
1週間に何コマ通うかを1〜7の数字で入力してください。
コマ数・授業料・請求額は自動で計算されます。</t>
      </text>
    </comment>
    <comment ref="M3" authorId="0" shapeId="0">
      <text>
        <t>📧 クリックすると、この生徒の保護者宛てに
宛先・件名・請求内容（教室／コース／コマ数／金額など）が
入力済みの状態でGmailの作成画面が開きます。
※このリンクの中身はファイルを作った時点の金額で固定です。
週コマ数を変えたあとに送る場合は、一覧表.pyを再実行して
ファイルを作り直してから開いてください。</t>
      </text>
    </comment>
    <comment ref="N3" authorId="0" shapeId="0">
      <text>
        <t>📋 この生徒の「現時点の」請求内容です（週コマ数を変えると自動更新）。
Gmailの本文はファイル作成時点の金額で固定されているため、
週コマ数を変えた後はここの内容と一致しているか確認してください。</t>
      </text>
    </comment>
    <comment ref="O3" authorId="0" shapeId="0">
      <text>
        <t>🔎 請求書シートの「②生徒名で選択」ドロップダウンの選択肢です。
同姓同名がいても一意に選べるよう、No付きの表記にしています。
このセル自体を直接編集する必要はありません。</t>
      </text>
    </comment>
  </commentList>
</comments>
</file>

<file path=xl/tables/table1.xml><?xml version="1.0" encoding="utf-8"?>
<table xmlns="http://schemas.openxmlformats.org/spreadsheetml/2006/main" id="1" name="TankaData" displayName="TankaData" ref="J35:L39" headerRowCount="1">
  <autoFilter ref="J35:L39"/>
  <tableColumns count="3">
    <tableColumn id="1" name="コース"/>
    <tableColumn id="2" name="1コマ単価"/>
    <tableColumn id="3" name="教材費(標準)"/>
  </tableColumns>
  <tableStyleInfo name="TableStyleMedium7" showFirstColumn="0" showLastColumn="0" showRowStripes="1" showColumnStripes="0"/>
</table>
</file>

<file path=xl/tables/table2.xml><?xml version="1.0" encoding="utf-8"?>
<table xmlns="http://schemas.openxmlformats.org/spreadsheetml/2006/main" id="2" name="SeikyuData" displayName="SeikyuData" ref="A3:L183" headerRowCount="1">
  <autoFilter ref="A3:L183"/>
  <tableColumns count="12">
    <tableColumn id="1" name="No"/>
    <tableColumn id="2" name="生徒名"/>
    <tableColumn id="3" name="教室"/>
    <tableColumn id="4" name="学年"/>
    <tableColumn id="5" name="コース"/>
    <tableColumn id="6" name="1コマ単価"/>
    <tableColumn id="7" name="週コマ数"/>
    <tableColumn id="8" name="コマ数"/>
    <tableColumn id="9" name="教材費"/>
    <tableColumn id="10" name="授業料"/>
    <tableColumn id="11" name="請求額(税込)"/>
    <tableColumn id="12" name="保護者メール"/>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zakiray0619-000.github.io/juku-seikyu-ichiranhyo/" TargetMode="External" Id="rId1" /><Relationship Type="http://schemas.openxmlformats.org/officeDocument/2006/relationships/hyperlink" Target="https://mail.google.com/mail/?view=cm&amp;fs=1&amp;su=&#12463;&#12522;&#12483;&#12463;&#12486;&#12473;&#12488;" TargetMode="External" Id="rId2" /><Relationship Type="http://schemas.openxmlformats.org/officeDocument/2006/relationships/hyperlink" Target="#'&#26376;&#26411;&#35531;&#27714;&#19968;&#35239;'!G4" TargetMode="External" Id="rId3" /><Relationship Type="http://schemas.openxmlformats.org/officeDocument/2006/relationships/table" Target="/xl/tables/table1.xml" Id="rId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mail.google.com/mail/?view=cm&amp;fs=1&amp;to=seito001%40example.com&amp;su=%E6%9D%BE%E6%9C%AC%E9%A2%AF%E5%A4%AA%E6%A7%98%202026%E5%B9%B48%E6%9C%88%E5%88%86%E8%AB%8B%E6%B1%82%E3%81%AE%E3%81%8A%E7%9F%A5%E3%82%89%E3%81%9B&amp;body=%E6%95%99%E5%AE%A4%EF%BC%9A%E6%9C%AC%E6%A0%A1%EF%BC%8F%E3%82%B3%E3%83%BC%E3%82%B9%EF%BC%9A%E5%80%8B%E5%88%A5%E6%8C%87%E5%B0%8E%EF%BC%8F%E3%82%B3%E3%83%9E%E6%95%B0%EF%BC%9A12%E3%82%B3%E3%83%9E%EF%BC%8F%E6%8E%88%E6%A5%AD%E6%96%99%EF%BC%9A42%2C000%E5%86%86%EF%BC%8F%E6%95%99%E6%9D%90%E8%B2%BB%EF%BC%9A6%2C000%E5%86%86%EF%BC%8F%E6%B6%88%E8%B2%BB%E7%A8%8E%EF%BC%9A4%2C800%E5%86%86%EF%BC%8F%E8%AB%8B%E6%B1%82%E9%A1%8D%EF%BC%9A52%2C800%E5%86%86" TargetMode="External" Id="rId1" /><Relationship Type="http://schemas.openxmlformats.org/officeDocument/2006/relationships/hyperlink" Target="https://mail.google.com/mail/?view=cm&amp;fs=1&amp;to=seito002%40example.com&amp;su=%E5%B1%B1%E5%B4%8E%E5%92%B2%E8%89%AF%E6%A7%98%202026%E5%B9%B48%E6%9C%88%E5%88%86%E8%AB%8B%E6%B1%82%E3%81%AE%E3%81%8A%E7%9F%A5%E3%82%89%E3%81%9B&amp;body=%E6%95%99%E5%AE%A4%EF%BC%9A%E6%9C%AC%E6%A0%A1%EF%BC%8F%E3%82%B3%E3%83%BC%E3%82%B9%EF%BC%9A%E5%80%8B%E5%88%A5%E6%8C%87%E5%B0%8ES%EF%BC%8F%E3%82%B3%E3%83%9E%E6%95%B0%EF%BC%9A12%E3%82%B3%E3%83%9E%EF%BC%8F%E6%8E%88%E6%A5%AD%E6%96%99%EF%BC%9A48%2C000%E5%86%86%EF%BC%8F%E6%95%99%E6%9D%90%E8%B2%BB%EF%BC%9A7%2C000%E5%86%86%EF%BC%8F%E6%B6%88%E8%B2%BB%E7%A8%8E%EF%BC%9A5%2C500%E5%86%86%EF%BC%8F%E8%AB%8B%E6%B1%82%E9%A1%8D%EF%BC%9A60%2C500%E5%86%86" TargetMode="External" Id="rId2" /><Relationship Type="http://schemas.openxmlformats.org/officeDocument/2006/relationships/hyperlink" Target="https://mail.google.com/mail/?view=cm&amp;fs=1&amp;to=seito003%40example.com&amp;su=%E4%BD%90%E3%80%85%E6%9C%A8%E6%82%A0%E6%96%97%E6%A7%98%202026%E5%B9%B48%E6%9C%88%E5%88%86%E8%AB%8B%E6%B1%82%E3%81%AE%E3%81%8A%E7%9F%A5%E3%82%89%E3%81%9B&amp;body=%E6%95%99%E5%AE%A4%EF%BC%9A%E6%9C%AC%E6%A0%A1%EF%BC%8F%E3%82%B3%E3%83%BC%E3%82%B9%EF%BC%9A%E5%80%8B%E5%88%A5%E6%8C%87%E5%B0%8ES%EF%BC%8F%E3%82%B3%E3%83%9E%E6%95%B0%EF%BC%9A12%E3%82%B3%E3%83%9E%EF%BC%8F%E6%8E%88%E6%A5%AD%E6%96%99%EF%BC%9A48%2C000%E5%86%86%EF%BC%8F%E6%95%99%E6%9D%90%E8%B2%BB%EF%BC%9A7%2C000%E5%86%86%EF%BC%8F%E6%B6%88%E8%B2%BB%E7%A8%8E%EF%BC%9A5%2C500%E5%86%86%EF%BC%8F%E8%AB%8B%E6%B1%82%E9%A1%8D%EF%BC%9A60%2C500%E5%86%86" TargetMode="External" Id="rId3" /><Relationship Type="http://schemas.openxmlformats.org/officeDocument/2006/relationships/hyperlink" Target="https://mail.google.com/mail/?view=cm&amp;fs=1&amp;to=seito004%40example.com&amp;su=%E7%94%B0%E4%B8%AD%E5%A4%A7%E5%92%8C%E6%A7%98%202026%E5%B9%B48%E6%9C%88%E5%88%86%E8%AB%8B%E6%B1%82%E3%81%AE%E3%81%8A%E7%9F%A5%E3%82%89%E3%81%9B&amp;body=%E6%95%99%E5%AE%A4%EF%BC%9A%E6%9C%AC%E6%A0%A1%EF%BC%8F%E3%82%B3%E3%83%BC%E3%82%B9%EF%BC%9A%E9%9B%86%E5%9B%A3%E6%8E%88%E6%A5%AD%EF%BC%8F%E3%82%B3%E3%83%9E%E6%95%B0%EF%BC%9A16%E3%82%B3%E3%83%9E%EF%BC%8F%E6%8E%88%E6%A5%AD%E6%96%99%EF%BC%9A40%2C000%E5%86%86%EF%BC%8F%E6%95%99%E6%9D%90%E8%B2%BB%EF%BC%9A4%2C500%E5%86%86%EF%BC%8F%E6%B6%88%E8%B2%BB%E7%A8%8E%EF%BC%9A4%2C450%E5%86%86%EF%BC%8F%E8%AB%8B%E6%B1%82%E9%A1%8D%EF%BC%9A48%2C950%E5%86%86" TargetMode="External" Id="rId4" /><Relationship Type="http://schemas.openxmlformats.org/officeDocument/2006/relationships/hyperlink" Target="https://mail.google.com/mail/?view=cm&amp;fs=1&amp;to=seito005%40example.com&amp;su=%E4%B8%AD%E9%87%8E%E8%8E%89%E5%AD%90%E6%A7%98%202026%E5%B9%B48%E6%9C%88%E5%88%86%E8%AB%8B%E6%B1%82%E3%81%AE%E3%81%8A%E7%9F%A5%E3%82%89%E3%81%9B&amp;body=%E6%95%99%E5%AE%A4%EF%BC%9A%E6%9C%AC%E6%A0%A1%EF%BC%8F%E3%82%B3%E3%83%BC%E3%82%B9%EF%BC%9A%E6%98%A0%E5%83%8F%E6%8E%88%E6%A5%AD%EF%BC%8F%E3%82%B3%E3%83%9E%E6%95%B0%EF%BC%9A12%E3%82%B3%E3%83%9E%EF%BC%8F%E6%8E%88%E6%A5%AD%E6%96%99%EF%BC%9A25%2C200%E5%86%86%EF%BC%8F%E6%95%99%E6%9D%90%E8%B2%BB%EF%BC%9A3%2C000%E5%86%86%EF%BC%8F%E6%B6%88%E8%B2%BB%E7%A8%8E%EF%BC%9A2%2C820%E5%86%86%EF%BC%8F%E8%AB%8B%E6%B1%82%E9%A1%8D%EF%BC%9A31%2C020%E5%86%86" TargetMode="External" Id="rId5" /><Relationship Type="http://schemas.openxmlformats.org/officeDocument/2006/relationships/hyperlink" Target="https://mail.google.com/mail/?view=cm&amp;fs=1&amp;to=seito006%40example.com&amp;su=%E6%A9%8B%E6%9C%AC%E8%8E%89%E5%AD%90%E6%A7%98%202026%E5%B9%B48%E6%9C%88%E5%88%86%E8%AB%8B%E6%B1%82%E3%81%AE%E3%81%8A%E7%9F%A5%E3%82%89%E3%81%9B&amp;body=%E6%95%99%E5%AE%A4%EF%BC%9A%E6%9C%AC%E6%A0%A1%EF%BC%8F%E3%82%B3%E3%83%BC%E3%82%B9%EF%BC%9A%E5%80%8B%E5%88%A5%E6%8C%87%E5%B0%8E%EF%BC%8F%E3%82%B3%E3%83%9E%E6%95%B0%EF%BC%9A8%E3%82%B3%E3%83%9E%EF%BC%8F%E6%8E%88%E6%A5%AD%E6%96%99%EF%BC%9A28%2C000%E5%86%86%EF%BC%8F%E6%95%99%E6%9D%90%E8%B2%BB%EF%BC%9A6%2C000%E5%86%86%EF%BC%8F%E6%B6%88%E8%B2%BB%E7%A8%8E%EF%BC%9A3%2C400%E5%86%86%EF%BC%8F%E8%AB%8B%E6%B1%82%E9%A1%8D%EF%BC%9A37%2C400%E5%86%86" TargetMode="External" Id="rId6" /><Relationship Type="http://schemas.openxmlformats.org/officeDocument/2006/relationships/hyperlink" Target="https://mail.google.com/mail/?view=cm&amp;fs=1&amp;to=seito007%40example.com&amp;su=%E4%BD%90%E8%97%A4%E9%A7%BF%E6%A7%98%202026%E5%B9%B48%E6%9C%88%E5%88%86%E8%AB%8B%E6%B1%82%E3%81%AE%E3%81%8A%E7%9F%A5%E3%82%89%E3%81%9B&amp;body=%E6%95%99%E5%AE%A4%EF%BC%9A%E6%9C%AC%E6%A0%A1%EF%BC%8F%E3%82%B3%E3%83%BC%E3%82%B9%EF%BC%9A%E6%98%A0%E5%83%8F%E6%8E%88%E6%A5%AD%EF%BC%8F%E3%82%B3%E3%83%9E%E6%95%B0%EF%BC%9A8%E3%82%B3%E3%83%9E%EF%BC%8F%E6%8E%88%E6%A5%AD%E6%96%99%EF%BC%9A16%2C800%E5%86%86%EF%BC%8F%E6%95%99%E6%9D%90%E8%B2%BB%EF%BC%9A3%2C000%E5%86%86%EF%BC%8F%E6%B6%88%E8%B2%BB%E7%A8%8E%EF%BC%9A1%2C980%E5%86%86%EF%BC%8F%E8%AB%8B%E6%B1%82%E9%A1%8D%EF%BC%9A21%2C780%E5%86%86" TargetMode="External" Id="rId7" /><Relationship Type="http://schemas.openxmlformats.org/officeDocument/2006/relationships/hyperlink" Target="https://mail.google.com/mail/?view=cm&amp;fs=1&amp;to=seito008%40example.com&amp;su=%E9%98%BF%E9%83%A8%E6%82%A0%E7%9C%9F%E6%A7%98%202026%E5%B9%B48%E6%9C%88%E5%88%86%E8%AB%8B%E6%B1%82%E3%81%AE%E3%81%8A%E7%9F%A5%E3%82%89%E3%81%9B&amp;body=%E6%95%99%E5%AE%A4%EF%BC%9A%E6%9C%AC%E6%A0%A1%EF%BC%8F%E3%82%B3%E3%83%BC%E3%82%B9%EF%BC%9A%E6%98%A0%E5%83%8F%E6%8E%88%E6%A5%AD%EF%BC%8F%E3%82%B3%E3%83%9E%E6%95%B0%EF%BC%9A20%E3%82%B3%E3%83%9E%EF%BC%8F%E6%8E%88%E6%A5%AD%E6%96%99%EF%BC%9A42%2C000%E5%86%86%EF%BC%8F%E6%95%99%E6%9D%90%E8%B2%BB%EF%BC%9A3%2C000%E5%86%86%EF%BC%8F%E6%B6%88%E8%B2%BB%E7%A8%8E%EF%BC%9A4%2C500%E5%86%86%EF%BC%8F%E8%AB%8B%E6%B1%82%E9%A1%8D%EF%BC%9A49%2C500%E5%86%86" TargetMode="External" Id="rId8" /><Relationship Type="http://schemas.openxmlformats.org/officeDocument/2006/relationships/hyperlink" Target="https://mail.google.com/mail/?view=cm&amp;fs=1&amp;to=seito009%40example.com&amp;su=%E7%9F%B3%E5%B7%9D%E5%87%9B%E6%A7%98%202026%E5%B9%B48%E6%9C%88%E5%88%86%E8%AB%8B%E6%B1%82%E3%81%AE%E3%81%8A%E7%9F%A5%E3%82%89%E3%81%9B&amp;body=%E6%95%99%E5%AE%A4%EF%BC%9A%E6%9C%AC%E6%A0%A1%EF%BC%8F%E3%82%B3%E3%83%BC%E3%82%B9%EF%BC%9A%E9%9B%86%E5%9B%A3%E6%8E%88%E6%A5%AD%EF%BC%8F%E3%82%B3%E3%83%9E%E6%95%B0%EF%BC%9A12%E3%82%B3%E3%83%9E%EF%BC%8F%E6%8E%88%E6%A5%AD%E6%96%99%EF%BC%9A30%2C000%E5%86%86%EF%BC%8F%E6%95%99%E6%9D%90%E8%B2%BB%EF%BC%9A4%2C500%E5%86%86%EF%BC%8F%E6%B6%88%E8%B2%BB%E7%A8%8E%EF%BC%9A3%2C450%E5%86%86%EF%BC%8F%E8%AB%8B%E6%B1%82%E9%A1%8D%EF%BC%9A37%2C950%E5%86%86" TargetMode="External" Id="rId9" /><Relationship Type="http://schemas.openxmlformats.org/officeDocument/2006/relationships/hyperlink" Target="https://mail.google.com/mail/?view=cm&amp;fs=1&amp;to=seito010%40example.com&amp;su=%E6%9C%A8%E6%9D%91%E7%BE%8E%E7%B5%90%E6%A7%98%202026%E5%B9%B48%E6%9C%88%E5%88%86%E8%AB%8B%E6%B1%82%E3%81%AE%E3%81%8A%E7%9F%A5%E3%82%89%E3%81%9B&amp;body=%E6%95%99%E5%AE%A4%EF%BC%9A%E6%9C%AC%E6%A0%A1%EF%BC%8F%E3%82%B3%E3%83%BC%E3%82%B9%EF%BC%9A%E6%98%A0%E5%83%8F%E6%8E%88%E6%A5%AD%EF%BC%8F%E3%82%B3%E3%83%9E%E6%95%B0%EF%BC%9A20%E3%82%B3%E3%83%9E%EF%BC%8F%E6%8E%88%E6%A5%AD%E6%96%99%EF%BC%9A42%2C000%E5%86%86%EF%BC%8F%E6%95%99%E6%9D%90%E8%B2%BB%EF%BC%9A3%2C000%E5%86%86%EF%BC%8F%E6%B6%88%E8%B2%BB%E7%A8%8E%EF%BC%9A4%2C500%E5%86%86%EF%BC%8F%E8%AB%8B%E6%B1%82%E9%A1%8D%EF%BC%9A49%2C500%E5%86%86" TargetMode="External" Id="rId10" /><Relationship Type="http://schemas.openxmlformats.org/officeDocument/2006/relationships/hyperlink" Target="https://mail.google.com/mail/?view=cm&amp;fs=1&amp;to=seito011%40example.com&amp;su=%E5%B0%8F%E6%9E%97%E5%BD%A9%E8%8A%B1%E6%A7%98%202026%E5%B9%B48%E6%9C%88%E5%88%86%E8%AB%8B%E6%B1%82%E3%81%AE%E3%81%8A%E7%9F%A5%E3%82%89%E3%81%9B&amp;body=%E6%95%99%E5%AE%A4%EF%BC%9A%E6%9C%AC%E6%A0%A1%EF%BC%8F%E3%82%B3%E3%83%BC%E3%82%B9%EF%BC%9A%E6%98%A0%E5%83%8F%E6%8E%88%E6%A5%AD%EF%BC%8F%E3%82%B3%E3%83%9E%E6%95%B0%EF%BC%9A16%E3%82%B3%E3%83%9E%EF%BC%8F%E6%8E%88%E6%A5%AD%E6%96%99%EF%BC%9A33%2C600%E5%86%86%EF%BC%8F%E6%95%99%E6%9D%90%E8%B2%BB%EF%BC%9A3%2C000%E5%86%86%EF%BC%8F%E6%B6%88%E8%B2%BB%E7%A8%8E%EF%BC%9A3%2C660%E5%86%86%EF%BC%8F%E8%AB%8B%E6%B1%82%E9%A1%8D%EF%BC%9A40%2C260%E5%86%86" TargetMode="External" Id="rId11" /><Relationship Type="http://schemas.openxmlformats.org/officeDocument/2006/relationships/hyperlink" Target="https://mail.google.com/mail/?view=cm&amp;fs=1&amp;to=seito012%40example.com&amp;su=%E5%90%89%E7%94%B0%E9%A7%BF%E6%A7%98%202026%E5%B9%B48%E6%9C%88%E5%88%86%E8%AB%8B%E6%B1%82%E3%81%AE%E3%81%8A%E7%9F%A5%E3%82%89%E3%81%9B&amp;body=%E6%95%99%E5%AE%A4%EF%BC%9A%E6%9C%AC%E6%A0%A1%EF%BC%8F%E3%82%B3%E3%83%BC%E3%82%B9%EF%BC%9A%E5%80%8B%E5%88%A5%E6%8C%87%E5%B0%8E%EF%BC%8F%E3%82%B3%E3%83%9E%E6%95%B0%EF%BC%9A20%E3%82%B3%E3%83%9E%EF%BC%8F%E6%8E%88%E6%A5%AD%E6%96%99%EF%BC%9A70%2C000%E5%86%86%EF%BC%8F%E6%95%99%E6%9D%90%E8%B2%BB%EF%BC%9A6%2C000%E5%86%86%EF%BC%8F%E6%B6%88%E8%B2%BB%E7%A8%8E%EF%BC%9A7%2C600%E5%86%86%EF%BC%8F%E8%AB%8B%E6%B1%82%E9%A1%8D%EF%BC%9A83%2C600%E5%86%86" TargetMode="External" Id="rId12" /><Relationship Type="http://schemas.openxmlformats.org/officeDocument/2006/relationships/hyperlink" Target="https://mail.google.com/mail/?view=cm&amp;fs=1&amp;to=seito013%40example.com&amp;su=%E7%AB%B9%E5%86%85%E8%93%AE%E6%A7%98%202026%E5%B9%B48%E6%9C%88%E5%88%86%E8%AB%8B%E6%B1%82%E3%81%AE%E3%81%8A%E7%9F%A5%E3%82%89%E3%81%9B&amp;body=%E6%95%99%E5%AE%A4%EF%BC%9A%E6%9C%AC%E6%A0%A1%EF%BC%8F%E3%82%B3%E3%83%BC%E3%82%B9%EF%BC%9A%E5%80%8B%E5%88%A5%E6%8C%87%E5%B0%8E%EF%BC%8F%E3%82%B3%E3%83%9E%E6%95%B0%EF%BC%9A4%E3%82%B3%E3%83%9E%EF%BC%8F%E6%8E%88%E6%A5%AD%E6%96%99%EF%BC%9A14%2C000%E5%86%86%EF%BC%8F%E6%95%99%E6%9D%90%E8%B2%BB%EF%BC%9A6%2C000%E5%86%86%EF%BC%8F%E6%B6%88%E8%B2%BB%E7%A8%8E%EF%BC%9A2%2C000%E5%86%86%EF%BC%8F%E8%AB%8B%E6%B1%82%E9%A1%8D%EF%BC%9A22%2C000%E5%86%86" TargetMode="External" Id="rId13" /><Relationship Type="http://schemas.openxmlformats.org/officeDocument/2006/relationships/hyperlink" Target="https://mail.google.com/mail/?view=cm&amp;fs=1&amp;to=seito014%40example.com&amp;su=%E6%9C%A8%E6%9D%91%E5%84%AA%E5%A5%88%E6%A7%98%202026%E5%B9%B48%E6%9C%88%E5%88%86%E8%AB%8B%E6%B1%82%E3%81%AE%E3%81%8A%E7%9F%A5%E3%82%89%E3%81%9B&amp;body=%E6%95%99%E5%AE%A4%EF%BC%9A%E6%9C%AC%E6%A0%A1%EF%BC%8F%E3%82%B3%E3%83%BC%E3%82%B9%EF%BC%9A%E9%9B%86%E5%9B%A3%E6%8E%88%E6%A5%AD%EF%BC%8F%E3%82%B3%E3%83%9E%E6%95%B0%EF%BC%9A4%E3%82%B3%E3%83%9E%EF%BC%8F%E6%8E%88%E6%A5%AD%E6%96%99%EF%BC%9A10%2C000%E5%86%86%EF%BC%8F%E6%95%99%E6%9D%90%E8%B2%BB%EF%BC%9A4%2C500%E5%86%86%EF%BC%8F%E6%B6%88%E8%B2%BB%E7%A8%8E%EF%BC%9A1%2C450%E5%86%86%EF%BC%8F%E8%AB%8B%E6%B1%82%E9%A1%8D%EF%BC%9A15%2C950%E5%86%86" TargetMode="External" Id="rId14" /><Relationship Type="http://schemas.openxmlformats.org/officeDocument/2006/relationships/hyperlink" Target="https://mail.google.com/mail/?view=cm&amp;fs=1&amp;to=seito015%40example.com&amp;su=%E6%9D%91%E4%B8%8A%E6%82%A0%E6%96%97%E6%A7%98%202026%E5%B9%B48%E6%9C%88%E5%88%86%E8%AB%8B%E6%B1%82%E3%81%AE%E3%81%8A%E7%9F%A5%E3%82%89%E3%81%9B&amp;body=%E6%95%99%E5%AE%A4%EF%BC%9A%E6%9C%AC%E6%A0%A1%EF%BC%8F%E3%82%B3%E3%83%BC%E3%82%B9%EF%BC%9A%E9%9B%86%E5%9B%A3%E6%8E%88%E6%A5%AD%EF%BC%8F%E3%82%B3%E3%83%9E%E6%95%B0%EF%BC%9A8%E3%82%B3%E3%83%9E%EF%BC%8F%E6%8E%88%E6%A5%AD%E6%96%99%EF%BC%9A20%2C000%E5%86%86%EF%BC%8F%E6%95%99%E6%9D%90%E8%B2%BB%EF%BC%9A4%2C500%E5%86%86%EF%BC%8F%E6%B6%88%E8%B2%BB%E7%A8%8E%EF%BC%9A2%2C450%E5%86%86%EF%BC%8F%E8%AB%8B%E6%B1%82%E9%A1%8D%EF%BC%9A26%2C950%E5%86%86" TargetMode="External" Id="rId15" /><Relationship Type="http://schemas.openxmlformats.org/officeDocument/2006/relationships/hyperlink" Target="https://mail.google.com/mail/?view=cm&amp;fs=1&amp;to=seito016%40example.com&amp;su=%E7%9F%B3%E5%B7%9D%E5%A4%A7%E7%BF%94%E6%A7%98%202026%E5%B9%B48%E6%9C%88%E5%88%86%E8%AB%8B%E6%B1%82%E3%81%AE%E3%81%8A%E7%9F%A5%E3%82%89%E3%81%9B&amp;body=%E6%95%99%E5%AE%A4%EF%BC%9A%E6%9C%AC%E6%A0%A1%EF%BC%8F%E3%82%B3%E3%83%BC%E3%82%B9%EF%BC%9A%E5%80%8B%E5%88%A5%E6%8C%87%E5%B0%8E%EF%BC%8F%E3%82%B3%E3%83%9E%E6%95%B0%EF%BC%9A4%E3%82%B3%E3%83%9E%EF%BC%8F%E6%8E%88%E6%A5%AD%E6%96%99%EF%BC%9A14%2C000%E5%86%86%EF%BC%8F%E6%95%99%E6%9D%90%E8%B2%BB%EF%BC%9A6%2C000%E5%86%86%EF%BC%8F%E6%B6%88%E8%B2%BB%E7%A8%8E%EF%BC%9A2%2C000%E5%86%86%EF%BC%8F%E8%AB%8B%E6%B1%82%E9%A1%8D%EF%BC%9A22%2C000%E5%86%86" TargetMode="External" Id="rId16" /><Relationship Type="http://schemas.openxmlformats.org/officeDocument/2006/relationships/hyperlink" Target="https://mail.google.com/mail/?view=cm&amp;fs=1&amp;to=seito017%40example.com&amp;su=%E5%A4%AA%E7%94%B0%E5%87%9B%E6%A7%98%202026%E5%B9%B48%E6%9C%88%E5%88%86%E8%AB%8B%E6%B1%82%E3%81%AE%E3%81%8A%E7%9F%A5%E3%82%89%E3%81%9B&amp;body=%E6%95%99%E5%AE%A4%EF%BC%9A%E6%9C%AC%E6%A0%A1%EF%BC%8F%E3%82%B3%E3%83%BC%E3%82%B9%EF%BC%9A%E5%80%8B%E5%88%A5%E6%8C%87%E5%B0%8E%EF%BC%8F%E3%82%B3%E3%83%9E%E6%95%B0%EF%BC%9A16%E3%82%B3%E3%83%9E%EF%BC%8F%E6%8E%88%E6%A5%AD%E6%96%99%EF%BC%9A56%2C000%E5%86%86%EF%BC%8F%E6%95%99%E6%9D%90%E8%B2%BB%EF%BC%9A6%2C000%E5%86%86%EF%BC%8F%E6%B6%88%E8%B2%BB%E7%A8%8E%EF%BC%9A6%2C200%E5%86%86%EF%BC%8F%E8%AB%8B%E6%B1%82%E9%A1%8D%EF%BC%9A68%2C200%E5%86%86" TargetMode="External" Id="rId17" /><Relationship Type="http://schemas.openxmlformats.org/officeDocument/2006/relationships/hyperlink" Target="https://mail.google.com/mail/?view=cm&amp;fs=1&amp;to=seito018%40example.com&amp;su=%E5%90%89%E7%94%B0%E9%99%BD%E5%90%91%E6%A7%98%202026%E5%B9%B48%E6%9C%88%E5%88%86%E8%AB%8B%E6%B1%82%E3%81%AE%E3%81%8A%E7%9F%A5%E3%82%89%E3%81%9B&amp;body=%E6%95%99%E5%AE%A4%EF%BC%9A%E6%9C%AC%E6%A0%A1%EF%BC%8F%E3%82%B3%E3%83%BC%E3%82%B9%EF%BC%9A%E6%98%A0%E5%83%8F%E6%8E%88%E6%A5%AD%EF%BC%8F%E3%82%B3%E3%83%9E%E6%95%B0%EF%BC%9A16%E3%82%B3%E3%83%9E%EF%BC%8F%E6%8E%88%E6%A5%AD%E6%96%99%EF%BC%9A33%2C600%E5%86%86%EF%BC%8F%E6%95%99%E6%9D%90%E8%B2%BB%EF%BC%9A3%2C000%E5%86%86%EF%BC%8F%E6%B6%88%E8%B2%BB%E7%A8%8E%EF%BC%9A3%2C660%E5%86%86%EF%BC%8F%E8%AB%8B%E6%B1%82%E9%A1%8D%EF%BC%9A40%2C260%E5%86%86" TargetMode="External" Id="rId18" /><Relationship Type="http://schemas.openxmlformats.org/officeDocument/2006/relationships/hyperlink" Target="https://mail.google.com/mail/?view=cm&amp;fs=1&amp;to=seito019%40example.com&amp;su=%E5%B1%B1%E4%B8%8B%E5%92%B2%E8%89%AF%E6%A7%98%202026%E5%B9%B48%E6%9C%88%E5%88%86%E8%AB%8B%E6%B1%82%E3%81%AE%E3%81%8A%E7%9F%A5%E3%82%89%E3%81%9B&amp;body=%E6%95%99%E5%AE%A4%EF%BC%9A%E6%9C%AC%E6%A0%A1%EF%BC%8F%E3%82%B3%E3%83%BC%E3%82%B9%EF%BC%9A%E6%98%A0%E5%83%8F%E6%8E%88%E6%A5%AD%EF%BC%8F%E3%82%B3%E3%83%9E%E6%95%B0%EF%BC%9A16%E3%82%B3%E3%83%9E%EF%BC%8F%E6%8E%88%E6%A5%AD%E6%96%99%EF%BC%9A33%2C600%E5%86%86%EF%BC%8F%E6%95%99%E6%9D%90%E8%B2%BB%EF%BC%9A3%2C000%E5%86%86%EF%BC%8F%E6%B6%88%E8%B2%BB%E7%A8%8E%EF%BC%9A3%2C660%E5%86%86%EF%BC%8F%E8%AB%8B%E6%B1%82%E9%A1%8D%EF%BC%9A40%2C260%E5%86%86" TargetMode="External" Id="rId19" /><Relationship Type="http://schemas.openxmlformats.org/officeDocument/2006/relationships/hyperlink" Target="https://mail.google.com/mail/?view=cm&amp;fs=1&amp;to=seito020%40example.com&amp;su=%E5%BE%8C%E8%97%A4%E6%84%9B%E6%A7%98%202026%E5%B9%B48%E6%9C%88%E5%88%86%E8%AB%8B%E6%B1%82%E3%81%AE%E3%81%8A%E7%9F%A5%E3%82%89%E3%81%9B&amp;body=%E6%95%99%E5%AE%A4%EF%BC%9A%E6%9C%AC%E6%A0%A1%EF%BC%8F%E3%82%B3%E3%83%BC%E3%82%B9%EF%BC%9A%E5%80%8B%E5%88%A5%E6%8C%87%E5%B0%8E%EF%BC%8F%E3%82%B3%E3%83%9E%E6%95%B0%EF%BC%9A8%E3%82%B3%E3%83%9E%EF%BC%8F%E6%8E%88%E6%A5%AD%E6%96%99%EF%BC%9A28%2C000%E5%86%86%EF%BC%8F%E6%95%99%E6%9D%90%E8%B2%BB%EF%BC%9A6%2C000%E5%86%86%EF%BC%8F%E6%B6%88%E8%B2%BB%E7%A8%8E%EF%BC%9A3%2C400%E5%86%86%EF%BC%8F%E8%AB%8B%E6%B1%82%E9%A1%8D%EF%BC%9A37%2C400%E5%86%86" TargetMode="External" Id="rId20" /><Relationship Type="http://schemas.openxmlformats.org/officeDocument/2006/relationships/hyperlink" Target="https://mail.google.com/mail/?view=cm&amp;fs=1&amp;to=seito021%40example.com&amp;su=%E7%94%B0%E6%9D%91%E7%BE%8E%E7%B5%90%E6%A7%98%202026%E5%B9%B48%E6%9C%88%E5%88%86%E8%AB%8B%E6%B1%82%E3%81%AE%E3%81%8A%E7%9F%A5%E3%82%89%E3%81%9B&amp;body=%E6%95%99%E5%AE%A4%EF%BC%9A%E6%9C%AC%E6%A0%A1%EF%BC%8F%E3%82%B3%E3%83%BC%E3%82%B9%EF%BC%9A%E5%80%8B%E5%88%A5%E6%8C%87%E5%B0%8ES%EF%BC%8F%E3%82%B3%E3%83%9E%E6%95%B0%EF%BC%9A16%E3%82%B3%E3%83%9E%EF%BC%8F%E6%8E%88%E6%A5%AD%E6%96%99%EF%BC%9A64%2C000%E5%86%86%EF%BC%8F%E6%95%99%E6%9D%90%E8%B2%BB%EF%BC%9A7%2C000%E5%86%86%EF%BC%8F%E6%B6%88%E8%B2%BB%E7%A8%8E%EF%BC%9A7%2C100%E5%86%86%EF%BC%8F%E8%AB%8B%E6%B1%82%E9%A1%8D%EF%BC%9A78%2C100%E5%86%86" TargetMode="External" Id="rId21" /><Relationship Type="http://schemas.openxmlformats.org/officeDocument/2006/relationships/hyperlink" Target="https://mail.google.com/mail/?view=cm&amp;fs=1&amp;to=seito022%40example.com&amp;su=%E4%B8%AD%E9%87%8E%E9%99%B8%E6%A7%98%202026%E5%B9%B48%E6%9C%88%E5%88%86%E8%AB%8B%E6%B1%82%E3%81%AE%E3%81%8A%E7%9F%A5%E3%82%89%E3%81%9B&amp;body=%E6%95%99%E5%AE%A4%EF%BC%9A%E6%9C%AC%E6%A0%A1%EF%BC%8F%E3%82%B3%E3%83%BC%E3%82%B9%EF%BC%9A%E5%80%8B%E5%88%A5%E6%8C%87%E5%B0%8E%EF%BC%8F%E3%82%B3%E3%83%9E%E6%95%B0%EF%BC%9A20%E3%82%B3%E3%83%9E%EF%BC%8F%E6%8E%88%E6%A5%AD%E6%96%99%EF%BC%9A70%2C000%E5%86%86%EF%BC%8F%E6%95%99%E6%9D%90%E8%B2%BB%EF%BC%9A6%2C000%E5%86%86%EF%BC%8F%E6%B6%88%E8%B2%BB%E7%A8%8E%EF%BC%9A7%2C600%E5%86%86%EF%BC%8F%E8%AB%8B%E6%B1%82%E9%A1%8D%EF%BC%9A83%2C600%E5%86%86" TargetMode="External" Id="rId22" /><Relationship Type="http://schemas.openxmlformats.org/officeDocument/2006/relationships/hyperlink" Target="https://mail.google.com/mail/?view=cm&amp;fs=1&amp;to=seito023%40example.com&amp;su=%E6%A9%8B%E6%9C%AC%E9%A2%AF%E6%A7%98%202026%E5%B9%B48%E6%9C%88%E5%88%86%E8%AB%8B%E6%B1%82%E3%81%AE%E3%81%8A%E7%9F%A5%E3%82%89%E3%81%9B&amp;body=%E6%95%99%E5%AE%A4%EF%BC%9A%E6%9C%AC%E6%A0%A1%EF%BC%8F%E3%82%B3%E3%83%BC%E3%82%B9%EF%BC%9A%E5%80%8B%E5%88%A5%E6%8C%87%E5%B0%8ES%EF%BC%8F%E3%82%B3%E3%83%9E%E6%95%B0%EF%BC%9A20%E3%82%B3%E3%83%9E%EF%BC%8F%E6%8E%88%E6%A5%AD%E6%96%99%EF%BC%9A80%2C000%E5%86%86%EF%BC%8F%E6%95%99%E6%9D%90%E8%B2%BB%EF%BC%9A7%2C000%E5%86%86%EF%BC%8F%E6%B6%88%E8%B2%BB%E7%A8%8E%EF%BC%9A8%2C700%E5%86%86%EF%BC%8F%E8%AB%8B%E6%B1%82%E9%A1%8D%EF%BC%9A95%2C700%E5%86%86" TargetMode="External" Id="rId23" /><Relationship Type="http://schemas.openxmlformats.org/officeDocument/2006/relationships/hyperlink" Target="https://mail.google.com/mail/?view=cm&amp;fs=1&amp;to=seito024%40example.com&amp;su=%E6%9E%97%E5%81%A5%E5%A4%AA%E6%A7%98%202026%E5%B9%B48%E6%9C%88%E5%88%86%E8%AB%8B%E6%B1%82%E3%81%AE%E3%81%8A%E7%9F%A5%E3%82%89%E3%81%9B&amp;body=%E6%95%99%E5%AE%A4%EF%BC%9A%E6%9C%AC%E6%A0%A1%EF%BC%8F%E3%82%B3%E3%83%BC%E3%82%B9%EF%BC%9A%E5%80%8B%E5%88%A5%E6%8C%87%E5%B0%8ES%EF%BC%8F%E3%82%B3%E3%83%9E%E6%95%B0%EF%BC%9A16%E3%82%B3%E3%83%9E%EF%BC%8F%E6%8E%88%E6%A5%AD%E6%96%99%EF%BC%9A64%2C000%E5%86%86%EF%BC%8F%E6%95%99%E6%9D%90%E8%B2%BB%EF%BC%9A7%2C000%E5%86%86%EF%BC%8F%E6%B6%88%E8%B2%BB%E7%A8%8E%EF%BC%9A7%2C100%E5%86%86%EF%BC%8F%E8%AB%8B%E6%B1%82%E9%A1%8D%EF%BC%9A78%2C100%E5%86%86" TargetMode="External" Id="rId24" /><Relationship Type="http://schemas.openxmlformats.org/officeDocument/2006/relationships/hyperlink" Target="https://mail.google.com/mail/?view=cm&amp;fs=1&amp;to=seito025%40example.com&amp;su=%E9%87%91%E5%AD%90%E7%BE%8E%E5%92%B2%E6%A7%98%202026%E5%B9%B48%E6%9C%88%E5%88%86%E8%AB%8B%E6%B1%82%E3%81%AE%E3%81%8A%E7%9F%A5%E3%82%89%E3%81%9B&amp;body=%E6%95%99%E5%AE%A4%EF%BC%9A%E6%9C%AC%E6%A0%A1%EF%BC%8F%E3%82%B3%E3%83%BC%E3%82%B9%EF%BC%9A%E6%98%A0%E5%83%8F%E6%8E%88%E6%A5%AD%EF%BC%8F%E3%82%B3%E3%83%9E%E6%95%B0%EF%BC%9A20%E3%82%B3%E3%83%9E%EF%BC%8F%E6%8E%88%E6%A5%AD%E6%96%99%EF%BC%9A42%2C000%E5%86%86%EF%BC%8F%E6%95%99%E6%9D%90%E8%B2%BB%EF%BC%9A3%2C000%E5%86%86%EF%BC%8F%E6%B6%88%E8%B2%BB%E7%A8%8E%EF%BC%9A4%2C500%E5%86%86%EF%BC%8F%E8%AB%8B%E6%B1%82%E9%A1%8D%EF%BC%9A49%2C500%E5%86%86" TargetMode="External" Id="rId25" /><Relationship Type="http://schemas.openxmlformats.org/officeDocument/2006/relationships/hyperlink" Target="https://mail.google.com/mail/?view=cm&amp;fs=1&amp;to=seito026%40example.com&amp;su=%E5%B1%B1%E7%94%B0%E7%B5%90%E7%BF%94%E6%A7%98%202026%E5%B9%B48%E6%9C%88%E5%88%86%E8%AB%8B%E6%B1%82%E3%81%AE%E3%81%8A%E7%9F%A5%E3%82%89%E3%81%9B&amp;body=%E6%95%99%E5%AE%A4%EF%BC%9A%E6%9C%AC%E6%A0%A1%EF%BC%8F%E3%82%B3%E3%83%BC%E3%82%B9%EF%BC%9A%E9%9B%86%E5%9B%A3%E6%8E%88%E6%A5%AD%EF%BC%8F%E3%82%B3%E3%83%9E%E6%95%B0%EF%BC%9A16%E3%82%B3%E3%83%9E%EF%BC%8F%E6%8E%88%E6%A5%AD%E6%96%99%EF%BC%9A40%2C000%E5%86%86%EF%BC%8F%E6%95%99%E6%9D%90%E8%B2%BB%EF%BC%9A4%2C500%E5%86%86%EF%BC%8F%E6%B6%88%E8%B2%BB%E7%A8%8E%EF%BC%9A4%2C450%E5%86%86%EF%BC%8F%E8%AB%8B%E6%B1%82%E9%A1%8D%EF%BC%9A48%2C950%E5%86%86" TargetMode="External" Id="rId26" /><Relationship Type="http://schemas.openxmlformats.org/officeDocument/2006/relationships/hyperlink" Target="https://mail.google.com/mail/?view=cm&amp;fs=1&amp;to=seito027%40example.com&amp;su=%E7%94%B0%E6%9D%91%E6%8B%93%E4%B9%9F%E6%A7%98%202026%E5%B9%B48%E6%9C%88%E5%88%86%E8%AB%8B%E6%B1%82%E3%81%AE%E3%81%8A%E7%9F%A5%E3%82%89%E3%81%9B&amp;body=%E6%95%99%E5%AE%A4%EF%BC%9A%E6%9C%AC%E6%A0%A1%EF%BC%8F%E3%82%B3%E3%83%BC%E3%82%B9%EF%BC%9A%E6%98%A0%E5%83%8F%E6%8E%88%E6%A5%AD%EF%BC%8F%E3%82%B3%E3%83%9E%E6%95%B0%EF%BC%9A20%E3%82%B3%E3%83%9E%EF%BC%8F%E6%8E%88%E6%A5%AD%E6%96%99%EF%BC%9A42%2C000%E5%86%86%EF%BC%8F%E6%95%99%E6%9D%90%E8%B2%BB%EF%BC%9A3%2C000%E5%86%86%EF%BC%8F%E6%B6%88%E8%B2%BB%E7%A8%8E%EF%BC%9A4%2C500%E5%86%86%EF%BC%8F%E8%AB%8B%E6%B1%82%E9%A1%8D%EF%BC%9A49%2C500%E5%86%86" TargetMode="External" Id="rId27" /><Relationship Type="http://schemas.openxmlformats.org/officeDocument/2006/relationships/hyperlink" Target="https://mail.google.com/mail/?view=cm&amp;fs=1&amp;to=seito028%40example.com&amp;su=%E7%94%B0%E4%B8%AD%E7%90%B4%E9%9F%B3%E6%A7%98%202026%E5%B9%B48%E6%9C%88%E5%88%86%E8%AB%8B%E6%B1%82%E3%81%AE%E3%81%8A%E7%9F%A5%E3%82%89%E3%81%9B&amp;body=%E6%95%99%E5%AE%A4%EF%BC%9A%E6%9C%AC%E6%A0%A1%EF%BC%8F%E3%82%B3%E3%83%BC%E3%82%B9%EF%BC%9A%E5%80%8B%E5%88%A5%E6%8C%87%E5%B0%8E%EF%BC%8F%E3%82%B3%E3%83%9E%E6%95%B0%EF%BC%9A16%E3%82%B3%E3%83%9E%EF%BC%8F%E6%8E%88%E6%A5%AD%E6%96%99%EF%BC%9A56%2C000%E5%86%86%EF%BC%8F%E6%95%99%E6%9D%90%E8%B2%BB%EF%BC%9A6%2C000%E5%86%86%EF%BC%8F%E6%B6%88%E8%B2%BB%E7%A8%8E%EF%BC%9A6%2C200%E5%86%86%EF%BC%8F%E8%AB%8B%E6%B1%82%E9%A1%8D%EF%BC%9A68%2C200%E5%86%86" TargetMode="External" Id="rId28" /><Relationship Type="http://schemas.openxmlformats.org/officeDocument/2006/relationships/hyperlink" Target="https://mail.google.com/mail/?view=cm&amp;fs=1&amp;to=seito029%40example.com&amp;su=%E8%BF%91%E8%97%A4%E6%82%A0%E6%96%97%E6%A7%98%202026%E5%B9%B48%E6%9C%88%E5%88%86%E8%AB%8B%E6%B1%82%E3%81%AE%E3%81%8A%E7%9F%A5%E3%82%89%E3%81%9B&amp;body=%E6%95%99%E5%AE%A4%EF%BC%9A%E6%9C%AC%E6%A0%A1%EF%BC%8F%E3%82%B3%E3%83%BC%E3%82%B9%EF%BC%9A%E9%9B%86%E5%9B%A3%E6%8E%88%E6%A5%AD%EF%BC%8F%E3%82%B3%E3%83%9E%E6%95%B0%EF%BC%9A8%E3%82%B3%E3%83%9E%EF%BC%8F%E6%8E%88%E6%A5%AD%E6%96%99%EF%BC%9A20%2C000%E5%86%86%EF%BC%8F%E6%95%99%E6%9D%90%E8%B2%BB%EF%BC%9A4%2C500%E5%86%86%EF%BC%8F%E6%B6%88%E8%B2%BB%E7%A8%8E%EF%BC%9A2%2C450%E5%86%86%EF%BC%8F%E8%AB%8B%E6%B1%82%E9%A1%8D%EF%BC%9A26%2C950%E5%86%86" TargetMode="External" Id="rId29" /><Relationship Type="http://schemas.openxmlformats.org/officeDocument/2006/relationships/hyperlink" Target="https://mail.google.com/mail/?view=cm&amp;fs=1&amp;to=seito030%40example.com&amp;su=%E7%94%B0%E4%B8%AD%E9%81%A5%E6%A7%98%202026%E5%B9%B48%E6%9C%88%E5%88%86%E8%AB%8B%E6%B1%82%E3%81%AE%E3%81%8A%E7%9F%A5%E3%82%89%E3%81%9B&amp;body=%E6%95%99%E5%AE%A4%EF%BC%9A%E6%9C%AC%E6%A0%A1%EF%BC%8F%E3%82%B3%E3%83%BC%E3%82%B9%EF%BC%9A%E6%98%A0%E5%83%8F%E6%8E%88%E6%A5%AD%EF%BC%8F%E3%82%B3%E3%83%9E%E6%95%B0%EF%BC%9A8%E3%82%B3%E3%83%9E%EF%BC%8F%E6%8E%88%E6%A5%AD%E6%96%99%EF%BC%9A16%2C800%E5%86%86%EF%BC%8F%E6%95%99%E6%9D%90%E8%B2%BB%EF%BC%9A3%2C000%E5%86%86%EF%BC%8F%E6%B6%88%E8%B2%BB%E7%A8%8E%EF%BC%9A1%2C980%E5%86%86%EF%BC%8F%E8%AB%8B%E6%B1%82%E9%A1%8D%EF%BC%9A21%2C780%E5%86%86" TargetMode="External" Id="rId30" /><Relationship Type="http://schemas.openxmlformats.org/officeDocument/2006/relationships/hyperlink" Target="https://mail.google.com/mail/?view=cm&amp;fs=1&amp;to=seito031%40example.com&amp;su=%E6%A3%AE%E7%B5%90%E8%A1%A3%E6%A7%98%202026%E5%B9%B48%E6%9C%88%E5%88%86%E8%AB%8B%E6%B1%82%E3%81%AE%E3%81%8A%E7%9F%A5%E3%82%89%E3%81%9B&amp;body=%E6%95%99%E5%AE%A4%EF%BC%9A%E6%9C%AC%E6%A0%A1%EF%BC%8F%E3%82%B3%E3%83%BC%E3%82%B9%EF%BC%9A%E6%98%A0%E5%83%8F%E6%8E%88%E6%A5%AD%EF%BC%8F%E3%82%B3%E3%83%9E%E6%95%B0%EF%BC%9A4%E3%82%B3%E3%83%9E%EF%BC%8F%E6%8E%88%E6%A5%AD%E6%96%99%EF%BC%9A8%2C400%E5%86%86%EF%BC%8F%E6%95%99%E6%9D%90%E8%B2%BB%EF%BC%9A3%2C000%E5%86%86%EF%BC%8F%E6%B6%88%E8%B2%BB%E7%A8%8E%EF%BC%9A1%2C140%E5%86%86%EF%BC%8F%E8%AB%8B%E6%B1%82%E9%A1%8D%EF%BC%9A12%2C540%E5%86%86" TargetMode="External" Id="rId31" /><Relationship Type="http://schemas.openxmlformats.org/officeDocument/2006/relationships/hyperlink" Target="https://mail.google.com/mail/?view=cm&amp;fs=1&amp;to=seito032%40example.com&amp;su=%E6%9D%BE%E6%9C%AC%E7%B4%AC%E6%A7%98%202026%E5%B9%B48%E6%9C%88%E5%88%86%E8%AB%8B%E6%B1%82%E3%81%AE%E3%81%8A%E7%9F%A5%E3%82%89%E3%81%9B&amp;body=%E6%95%99%E5%AE%A4%EF%BC%9A%E6%9C%AC%E6%A0%A1%EF%BC%8F%E3%82%B3%E3%83%BC%E3%82%B9%EF%BC%9A%E5%80%8B%E5%88%A5%E6%8C%87%E5%B0%8E%EF%BC%8F%E3%82%B3%E3%83%9E%E6%95%B0%EF%BC%9A12%E3%82%B3%E3%83%9E%EF%BC%8F%E6%8E%88%E6%A5%AD%E6%96%99%EF%BC%9A42%2C000%E5%86%86%EF%BC%8F%E6%95%99%E6%9D%90%E8%B2%BB%EF%BC%9A6%2C000%E5%86%86%EF%BC%8F%E6%B6%88%E8%B2%BB%E7%A8%8E%EF%BC%9A4%2C800%E5%86%86%EF%BC%8F%E8%AB%8B%E6%B1%82%E9%A1%8D%EF%BC%9A52%2C800%E5%86%86" TargetMode="External" Id="rId32" /><Relationship Type="http://schemas.openxmlformats.org/officeDocument/2006/relationships/hyperlink" Target="https://mail.google.com/mail/?view=cm&amp;fs=1&amp;to=seito033%40example.com&amp;su=%E5%BE%8C%E8%97%A4%E7%BF%BC%E6%A7%98%202026%E5%B9%B48%E6%9C%88%E5%88%86%E8%AB%8B%E6%B1%82%E3%81%AE%E3%81%8A%E7%9F%A5%E3%82%89%E3%81%9B&amp;body=%E6%95%99%E5%AE%A4%EF%BC%9A%E6%9C%AC%E6%A0%A1%EF%BC%8F%E3%82%B3%E3%83%BC%E3%82%B9%EF%BC%9A%E9%9B%86%E5%9B%A3%E6%8E%88%E6%A5%AD%EF%BC%8F%E3%82%B3%E3%83%9E%E6%95%B0%EF%BC%9A20%E3%82%B3%E3%83%9E%EF%BC%8F%E6%8E%88%E6%A5%AD%E6%96%99%EF%BC%9A50%2C000%E5%86%86%EF%BC%8F%E6%95%99%E6%9D%90%E8%B2%BB%EF%BC%9A4%2C500%E5%86%86%EF%BC%8F%E6%B6%88%E8%B2%BB%E7%A8%8E%EF%BC%9A5%2C450%E5%86%86%EF%BC%8F%E8%AB%8B%E6%B1%82%E9%A1%8D%EF%BC%9A59%2C950%E5%86%86" TargetMode="External" Id="rId33" /><Relationship Type="http://schemas.openxmlformats.org/officeDocument/2006/relationships/hyperlink" Target="https://mail.google.com/mail/?view=cm&amp;fs=1&amp;to=seito034%40example.com&amp;su=%E5%B0%8F%E9%87%8E%E6%A5%93%E6%A7%98%202026%E5%B9%B48%E6%9C%88%E5%88%86%E8%AB%8B%E6%B1%82%E3%81%AE%E3%81%8A%E7%9F%A5%E3%82%89%E3%81%9B&amp;body=%E6%95%99%E5%AE%A4%EF%BC%9A%E6%9C%AC%E6%A0%A1%EF%BC%8F%E3%82%B3%E3%83%BC%E3%82%B9%EF%BC%9A%E5%80%8B%E5%88%A5%E6%8C%87%E5%B0%8E%EF%BC%8F%E3%82%B3%E3%83%9E%E6%95%B0%EF%BC%9A8%E3%82%B3%E3%83%9E%EF%BC%8F%E6%8E%88%E6%A5%AD%E6%96%99%EF%BC%9A28%2C000%E5%86%86%EF%BC%8F%E6%95%99%E6%9D%90%E8%B2%BB%EF%BC%9A6%2C000%E5%86%86%EF%BC%8F%E6%B6%88%E8%B2%BB%E7%A8%8E%EF%BC%9A3%2C400%E5%86%86%EF%BC%8F%E8%AB%8B%E6%B1%82%E9%A1%8D%EF%BC%9A37%2C400%E5%86%86" TargetMode="External" Id="rId34" /><Relationship Type="http://schemas.openxmlformats.org/officeDocument/2006/relationships/hyperlink" Target="https://mail.google.com/mail/?view=cm&amp;fs=1&amp;to=seito035%40example.com&amp;su=%E5%B1%B1%E4%B8%8B%E6%82%A0%E6%96%97%E6%A7%98%202026%E5%B9%B48%E6%9C%88%E5%88%86%E8%AB%8B%E6%B1%82%E3%81%AE%E3%81%8A%E7%9F%A5%E3%82%89%E3%81%9B&amp;body=%E6%95%99%E5%AE%A4%EF%BC%9A%E6%9C%AC%E6%A0%A1%EF%BC%8F%E3%82%B3%E3%83%BC%E3%82%B9%EF%BC%9A%E6%98%A0%E5%83%8F%E6%8E%88%E6%A5%AD%EF%BC%8F%E3%82%B3%E3%83%9E%E6%95%B0%EF%BC%9A8%E3%82%B3%E3%83%9E%EF%BC%8F%E6%8E%88%E6%A5%AD%E6%96%99%EF%BC%9A16%2C800%E5%86%86%EF%BC%8F%E6%95%99%E6%9D%90%E8%B2%BB%EF%BC%9A3%2C000%E5%86%86%EF%BC%8F%E6%B6%88%E8%B2%BB%E7%A8%8E%EF%BC%9A1%2C980%E5%86%86%EF%BC%8F%E8%AB%8B%E6%B1%82%E9%A1%8D%EF%BC%9A21%2C780%E5%86%86" TargetMode="External" Id="rId35" /><Relationship Type="http://schemas.openxmlformats.org/officeDocument/2006/relationships/hyperlink" Target="https://mail.google.com/mail/?view=cm&amp;fs=1&amp;to=seito036%40example.com&amp;su=%E8%97%A4%E7%94%B0%E8%93%AE%E6%A7%98%202026%E5%B9%B48%E6%9C%88%E5%88%86%E8%AB%8B%E6%B1%82%E3%81%AE%E3%81%8A%E7%9F%A5%E3%82%89%E3%81%9B&amp;body=%E6%95%99%E5%AE%A4%EF%BC%9A%E6%9C%AC%E6%A0%A1%EF%BC%8F%E3%82%B3%E3%83%BC%E3%82%B9%EF%BC%9A%E5%80%8B%E5%88%A5%E6%8C%87%E5%B0%8ES%EF%BC%8F%E3%82%B3%E3%83%9E%E6%95%B0%EF%BC%9A16%E3%82%B3%E3%83%9E%EF%BC%8F%E6%8E%88%E6%A5%AD%E6%96%99%EF%BC%9A64%2C000%E5%86%86%EF%BC%8F%E6%95%99%E6%9D%90%E8%B2%BB%EF%BC%9A7%2C000%E5%86%86%EF%BC%8F%E6%B6%88%E8%B2%BB%E7%A8%8E%EF%BC%9A7%2C100%E5%86%86%EF%BC%8F%E8%AB%8B%E6%B1%82%E9%A1%8D%EF%BC%9A78%2C100%E5%86%86" TargetMode="External" Id="rId36" /><Relationship Type="http://schemas.openxmlformats.org/officeDocument/2006/relationships/hyperlink" Target="https://mail.google.com/mail/?view=cm&amp;fs=1&amp;to=seito037%40example.com&amp;su=%E6%B8%A1%E8%BE%BA%E7%BE%8E%E7%B5%90%E6%A7%98%202026%E5%B9%B48%E6%9C%88%E5%88%86%E8%AB%8B%E6%B1%82%E3%81%AE%E3%81%8A%E7%9F%A5%E3%82%89%E3%81%9B&amp;body=%E6%95%99%E5%AE%A4%EF%BC%9A%E6%9C%AC%E6%A0%A1%EF%BC%8F%E3%82%B3%E3%83%BC%E3%82%B9%EF%BC%9A%E9%9B%86%E5%9B%A3%E6%8E%88%E6%A5%AD%EF%BC%8F%E3%82%B3%E3%83%9E%E6%95%B0%EF%BC%9A20%E3%82%B3%E3%83%9E%EF%BC%8F%E6%8E%88%E6%A5%AD%E6%96%99%EF%BC%9A50%2C000%E5%86%86%EF%BC%8F%E6%95%99%E6%9D%90%E8%B2%BB%EF%BC%9A4%2C500%E5%86%86%EF%BC%8F%E6%B6%88%E8%B2%BB%E7%A8%8E%EF%BC%9A5%2C450%E5%86%86%EF%BC%8F%E8%AB%8B%E6%B1%82%E9%A1%8D%EF%BC%9A59%2C950%E5%86%86" TargetMode="External" Id="rId37" /><Relationship Type="http://schemas.openxmlformats.org/officeDocument/2006/relationships/hyperlink" Target="https://mail.google.com/mail/?view=cm&amp;fs=1&amp;to=seito038%40example.com&amp;su=%E6%96%8E%E8%97%A4%E8%91%B5%E6%A7%98%202026%E5%B9%B48%E6%9C%88%E5%88%86%E8%AB%8B%E6%B1%82%E3%81%AE%E3%81%8A%E7%9F%A5%E3%82%89%E3%81%9B&amp;body=%E6%95%99%E5%AE%A4%EF%BC%9A%E6%9C%AC%E6%A0%A1%EF%BC%8F%E3%82%B3%E3%83%BC%E3%82%B9%EF%BC%9A%E6%98%A0%E5%83%8F%E6%8E%88%E6%A5%AD%EF%BC%8F%E3%82%B3%E3%83%9E%E6%95%B0%EF%BC%9A4%E3%82%B3%E3%83%9E%EF%BC%8F%E6%8E%88%E6%A5%AD%E6%96%99%EF%BC%9A8%2C400%E5%86%86%EF%BC%8F%E6%95%99%E6%9D%90%E8%B2%BB%EF%BC%9A3%2C000%E5%86%86%EF%BC%8F%E6%B6%88%E8%B2%BB%E7%A8%8E%EF%BC%9A1%2C140%E5%86%86%EF%BC%8F%E8%AB%8B%E6%B1%82%E9%A1%8D%EF%BC%9A12%2C540%E5%86%86" TargetMode="External" Id="rId38" /><Relationship Type="http://schemas.openxmlformats.org/officeDocument/2006/relationships/hyperlink" Target="https://mail.google.com/mail/?view=cm&amp;fs=1&amp;to=seito039%40example.com&amp;su=%E5%B2%A1%E6%9C%AC%E8%92%BC%E6%A7%98%202026%E5%B9%B48%E6%9C%88%E5%88%86%E8%AB%8B%E6%B1%82%E3%81%AE%E3%81%8A%E7%9F%A5%E3%82%89%E3%81%9B&amp;body=%E6%95%99%E5%AE%A4%EF%BC%9A%E6%9C%AC%E6%A0%A1%EF%BC%8F%E3%82%B3%E3%83%BC%E3%82%B9%EF%BC%9A%E6%98%A0%E5%83%8F%E6%8E%88%E6%A5%AD%EF%BC%8F%E3%82%B3%E3%83%9E%E6%95%B0%EF%BC%9A16%E3%82%B3%E3%83%9E%EF%BC%8F%E6%8E%88%E6%A5%AD%E6%96%99%EF%BC%9A33%2C600%E5%86%86%EF%BC%8F%E6%95%99%E6%9D%90%E8%B2%BB%EF%BC%9A3%2C000%E5%86%86%EF%BC%8F%E6%B6%88%E8%B2%BB%E7%A8%8E%EF%BC%9A3%2C660%E5%86%86%EF%BC%8F%E8%AB%8B%E6%B1%82%E9%A1%8D%EF%BC%9A40%2C260%E5%86%86" TargetMode="External" Id="rId39" /><Relationship Type="http://schemas.openxmlformats.org/officeDocument/2006/relationships/hyperlink" Target="https://mail.google.com/mail/?view=cm&amp;fs=1&amp;to=seito040%40example.com&amp;su=%E5%B0%8F%E6%9E%97%E7%BE%8E%E6%9C%88%E6%A7%98%202026%E5%B9%B48%E6%9C%88%E5%88%86%E8%AB%8B%E6%B1%82%E3%81%AE%E3%81%8A%E7%9F%A5%E3%82%89%E3%81%9B&amp;body=%E6%95%99%E5%AE%A4%EF%BC%9A%E6%9C%AC%E6%A0%A1%EF%BC%8F%E3%82%B3%E3%83%BC%E3%82%B9%EF%BC%9A%E6%98%A0%E5%83%8F%E6%8E%88%E6%A5%AD%EF%BC%8F%E3%82%B3%E3%83%9E%E6%95%B0%EF%BC%9A16%E3%82%B3%E3%83%9E%EF%BC%8F%E6%8E%88%E6%A5%AD%E6%96%99%EF%BC%9A33%2C600%E5%86%86%EF%BC%8F%E6%95%99%E6%9D%90%E8%B2%BB%EF%BC%9A3%2C000%E5%86%86%EF%BC%8F%E6%B6%88%E8%B2%BB%E7%A8%8E%EF%BC%9A3%2C660%E5%86%86%EF%BC%8F%E8%AB%8B%E6%B1%82%E9%A1%8D%EF%BC%9A40%2C260%E5%86%86" TargetMode="External" Id="rId40" /><Relationship Type="http://schemas.openxmlformats.org/officeDocument/2006/relationships/hyperlink" Target="https://mail.google.com/mail/?view=cm&amp;fs=1&amp;to=seito041%40example.com&amp;su=%E6%B8%A1%E8%BE%BA%E6%84%9B%E6%A7%98%202026%E5%B9%B48%E6%9C%88%E5%88%86%E8%AB%8B%E6%B1%82%E3%81%AE%E3%81%8A%E7%9F%A5%E3%82%89%E3%81%9B&amp;body=%E6%95%99%E5%AE%A4%EF%BC%9A%E6%9C%AC%E6%A0%A1%EF%BC%8F%E3%82%B3%E3%83%BC%E3%82%B9%EF%BC%9A%E9%9B%86%E5%9B%A3%E6%8E%88%E6%A5%AD%EF%BC%8F%E3%82%B3%E3%83%9E%E6%95%B0%EF%BC%9A12%E3%82%B3%E3%83%9E%EF%BC%8F%E6%8E%88%E6%A5%AD%E6%96%99%EF%BC%9A30%2C000%E5%86%86%EF%BC%8F%E6%95%99%E6%9D%90%E8%B2%BB%EF%BC%9A4%2C500%E5%86%86%EF%BC%8F%E6%B6%88%E8%B2%BB%E7%A8%8E%EF%BC%9A3%2C450%E5%86%86%EF%BC%8F%E8%AB%8B%E6%B1%82%E9%A1%8D%EF%BC%9A37%2C950%E5%86%86" TargetMode="External" Id="rId41" /><Relationship Type="http://schemas.openxmlformats.org/officeDocument/2006/relationships/hyperlink" Target="https://mail.google.com/mail/?view=cm&amp;fs=1&amp;to=seito042%40example.com&amp;su=%E9%AB%98%E6%A9%8B%E5%A4%A7%E7%BF%94%E6%A7%98%202026%E5%B9%B48%E6%9C%88%E5%88%86%E8%AB%8B%E6%B1%82%E3%81%AE%E3%81%8A%E7%9F%A5%E3%82%89%E3%81%9B&amp;body=%E6%95%99%E5%AE%A4%EF%BC%9A%E6%9C%AC%E6%A0%A1%EF%BC%8F%E3%82%B3%E3%83%BC%E3%82%B9%EF%BC%9A%E6%98%A0%E5%83%8F%E6%8E%88%E6%A5%AD%EF%BC%8F%E3%82%B3%E3%83%9E%E6%95%B0%EF%BC%9A20%E3%82%B3%E3%83%9E%EF%BC%8F%E6%8E%88%E6%A5%AD%E6%96%99%EF%BC%9A42%2C000%E5%86%86%EF%BC%8F%E6%95%99%E6%9D%90%E8%B2%BB%EF%BC%9A3%2C000%E5%86%86%EF%BC%8F%E6%B6%88%E8%B2%BB%E7%A8%8E%EF%BC%9A4%2C500%E5%86%86%EF%BC%8F%E8%AB%8B%E6%B1%82%E9%A1%8D%EF%BC%9A49%2C500%E5%86%86" TargetMode="External" Id="rId42" /><Relationship Type="http://schemas.openxmlformats.org/officeDocument/2006/relationships/hyperlink" Target="https://mail.google.com/mail/?view=cm&amp;fs=1&amp;to=seito043%40example.com&amp;su=%E7%94%B0%E4%B8%AD%E8%A9%A9%E7%B9%94%E6%A7%98%202026%E5%B9%B48%E6%9C%88%E5%88%86%E8%AB%8B%E6%B1%82%E3%81%AE%E3%81%8A%E7%9F%A5%E3%82%89%E3%81%9B&amp;body=%E6%95%99%E5%AE%A4%EF%BC%9A%E6%9C%AC%E6%A0%A1%EF%BC%8F%E3%82%B3%E3%83%BC%E3%82%B9%EF%BC%9A%E5%80%8B%E5%88%A5%E6%8C%87%E5%B0%8E%EF%BC%8F%E3%82%B3%E3%83%9E%E6%95%B0%EF%BC%9A16%E3%82%B3%E3%83%9E%EF%BC%8F%E6%8E%88%E6%A5%AD%E6%96%99%EF%BC%9A56%2C000%E5%86%86%EF%BC%8F%E6%95%99%E6%9D%90%E8%B2%BB%EF%BC%9A6%2C000%E5%86%86%EF%BC%8F%E6%B6%88%E8%B2%BB%E7%A8%8E%EF%BC%9A6%2C200%E5%86%86%EF%BC%8F%E8%AB%8B%E6%B1%82%E9%A1%8D%EF%BC%9A68%2C200%E5%86%86" TargetMode="External" Id="rId43" /><Relationship Type="http://schemas.openxmlformats.org/officeDocument/2006/relationships/hyperlink" Target="https://mail.google.com/mail/?view=cm&amp;fs=1&amp;to=seito044%40example.com&amp;su=%E4%BA%95%E4%B8%8A%E7%BE%8E%E5%92%B2%E6%A7%98%202026%E5%B9%B48%E6%9C%88%E5%88%86%E8%AB%8B%E6%B1%82%E3%81%AE%E3%81%8A%E7%9F%A5%E3%82%89%E3%81%9B&amp;body=%E6%95%99%E5%AE%A4%EF%BC%9A%E6%9C%AC%E6%A0%A1%EF%BC%8F%E3%82%B3%E3%83%BC%E3%82%B9%EF%BC%9A%E9%9B%86%E5%9B%A3%E6%8E%88%E6%A5%AD%EF%BC%8F%E3%82%B3%E3%83%9E%E6%95%B0%EF%BC%9A16%E3%82%B3%E3%83%9E%EF%BC%8F%E6%8E%88%E6%A5%AD%E6%96%99%EF%BC%9A40%2C000%E5%86%86%EF%BC%8F%E6%95%99%E6%9D%90%E8%B2%BB%EF%BC%9A4%2C500%E5%86%86%EF%BC%8F%E6%B6%88%E8%B2%BB%E7%A8%8E%EF%BC%9A4%2C450%E5%86%86%EF%BC%8F%E8%AB%8B%E6%B1%82%E9%A1%8D%EF%BC%9A48%2C950%E5%86%86" TargetMode="External" Id="rId44" /><Relationship Type="http://schemas.openxmlformats.org/officeDocument/2006/relationships/hyperlink" Target="https://mail.google.com/mail/?view=cm&amp;fs=1&amp;to=seito045%40example.com&amp;su=%E6%B8%A1%E8%BE%BA%E8%91%B5%E6%A7%98%202026%E5%B9%B48%E6%9C%88%E5%88%86%E8%AB%8B%E6%B1%82%E3%81%AE%E3%81%8A%E7%9F%A5%E3%82%89%E3%81%9B&amp;body=%E6%95%99%E5%AE%A4%EF%BC%9A%E6%9C%AC%E6%A0%A1%EF%BC%8F%E3%82%B3%E3%83%BC%E3%82%B9%EF%BC%9A%E5%80%8B%E5%88%A5%E6%8C%87%E5%B0%8ES%EF%BC%8F%E3%82%B3%E3%83%9E%E6%95%B0%EF%BC%9A16%E3%82%B3%E3%83%9E%EF%BC%8F%E6%8E%88%E6%A5%AD%E6%96%99%EF%BC%9A64%2C000%E5%86%86%EF%BC%8F%E6%95%99%E6%9D%90%E8%B2%BB%EF%BC%9A7%2C000%E5%86%86%EF%BC%8F%E6%B6%88%E8%B2%BB%E7%A8%8E%EF%BC%9A7%2C100%E5%86%86%EF%BC%8F%E8%AB%8B%E6%B1%82%E9%A1%8D%EF%BC%9A78%2C100%E5%86%86" TargetMode="External" Id="rId45" /><Relationship Type="http://schemas.openxmlformats.org/officeDocument/2006/relationships/hyperlink" Target="https://mail.google.com/mail/?view=cm&amp;fs=1&amp;to=seito046%40example.com&amp;su=%E5%B1%B1%E5%B4%8E%E8%A9%A9%E7%B9%94%E6%A7%98%202026%E5%B9%B48%E6%9C%88%E5%88%86%E8%AB%8B%E6%B1%82%E3%81%AE%E3%81%8A%E7%9F%A5%E3%82%89%E3%81%9B&amp;body=%E6%95%99%E5%AE%A4%EF%BC%9A%E6%9C%AC%E6%A0%A1%EF%BC%8F%E3%82%B3%E3%83%BC%E3%82%B9%EF%BC%9A%E6%98%A0%E5%83%8F%E6%8E%88%E6%A5%AD%EF%BC%8F%E3%82%B3%E3%83%9E%E6%95%B0%EF%BC%9A8%E3%82%B3%E3%83%9E%EF%BC%8F%E6%8E%88%E6%A5%AD%E6%96%99%EF%BC%9A16%2C800%E5%86%86%EF%BC%8F%E6%95%99%E6%9D%90%E8%B2%BB%EF%BC%9A3%2C000%E5%86%86%EF%BC%8F%E6%B6%88%E8%B2%BB%E7%A8%8E%EF%BC%9A1%2C980%E5%86%86%EF%BC%8F%E8%AB%8B%E6%B1%82%E9%A1%8D%EF%BC%9A21%2C780%E5%86%86" TargetMode="External" Id="rId46" /><Relationship Type="http://schemas.openxmlformats.org/officeDocument/2006/relationships/hyperlink" Target="https://mail.google.com/mail/?view=cm&amp;fs=1&amp;to=seito047%40example.com&amp;su=%E7%9F%B3%E4%BA%95%E5%BF%83%E6%98%A5%E6%A7%98%202026%E5%B9%B48%E6%9C%88%E5%88%86%E8%AB%8B%E6%B1%82%E3%81%AE%E3%81%8A%E7%9F%A5%E3%82%89%E3%81%9B&amp;body=%E6%95%99%E5%AE%A4%EF%BC%9A%E6%9C%AC%E6%A0%A1%EF%BC%8F%E3%82%B3%E3%83%BC%E3%82%B9%EF%BC%9A%E5%80%8B%E5%88%A5%E6%8C%87%E5%B0%8E%EF%BC%8F%E3%82%B3%E3%83%9E%E6%95%B0%EF%BC%9A20%E3%82%B3%E3%83%9E%EF%BC%8F%E6%8E%88%E6%A5%AD%E6%96%99%EF%BC%9A70%2C000%E5%86%86%EF%BC%8F%E6%95%99%E6%9D%90%E8%B2%BB%EF%BC%9A6%2C000%E5%86%86%EF%BC%8F%E6%B6%88%E8%B2%BB%E7%A8%8E%EF%BC%9A7%2C600%E5%86%86%EF%BC%8F%E8%AB%8B%E6%B1%82%E9%A1%8D%EF%BC%9A83%2C600%E5%86%86" TargetMode="External" Id="rId47" /><Relationship Type="http://schemas.openxmlformats.org/officeDocument/2006/relationships/hyperlink" Target="https://mail.google.com/mail/?view=cm&amp;fs=1&amp;to=seito048%40example.com&amp;su=%E4%BD%90%E8%97%A4%E5%81%A5%E5%A4%AA%E6%A7%98%202026%E5%B9%B48%E6%9C%88%E5%88%86%E8%AB%8B%E6%B1%82%E3%81%AE%E3%81%8A%E7%9F%A5%E3%82%89%E3%81%9B&amp;body=%E6%95%99%E5%AE%A4%EF%BC%9A%E6%9C%AC%E6%A0%A1%EF%BC%8F%E3%82%B3%E3%83%BC%E3%82%B9%EF%BC%9A%E5%80%8B%E5%88%A5%E6%8C%87%E5%B0%8ES%EF%BC%8F%E3%82%B3%E3%83%9E%E6%95%B0%EF%BC%9A16%E3%82%B3%E3%83%9E%EF%BC%8F%E6%8E%88%E6%A5%AD%E6%96%99%EF%BC%9A64%2C000%E5%86%86%EF%BC%8F%E6%95%99%E6%9D%90%E8%B2%BB%EF%BC%9A7%2C000%E5%86%86%EF%BC%8F%E6%B6%88%E8%B2%BB%E7%A8%8E%EF%BC%9A7%2C100%E5%86%86%EF%BC%8F%E8%AB%8B%E6%B1%82%E9%A1%8D%EF%BC%9A78%2C100%E5%86%86" TargetMode="External" Id="rId48" /><Relationship Type="http://schemas.openxmlformats.org/officeDocument/2006/relationships/hyperlink" Target="https://mail.google.com/mail/?view=cm&amp;fs=1&amp;to=seito049%40example.com&amp;su=%E7%9F%B3%E4%BA%95%E7%B5%90%E8%A1%A3%E6%A7%98%202026%E5%B9%B48%E6%9C%88%E5%88%86%E8%AB%8B%E6%B1%82%E3%81%AE%E3%81%8A%E7%9F%A5%E3%82%89%E3%81%9B&amp;body=%E6%95%99%E5%AE%A4%EF%BC%9A%E6%9C%AC%E6%A0%A1%EF%BC%8F%E3%82%B3%E3%83%BC%E3%82%B9%EF%BC%9A%E5%80%8B%E5%88%A5%E6%8C%87%E5%B0%8ES%EF%BC%8F%E3%82%B3%E3%83%9E%E6%95%B0%EF%BC%9A16%E3%82%B3%E3%83%9E%EF%BC%8F%E6%8E%88%E6%A5%AD%E6%96%99%EF%BC%9A64%2C000%E5%86%86%EF%BC%8F%E6%95%99%E6%9D%90%E8%B2%BB%EF%BC%9A7%2C000%E5%86%86%EF%BC%8F%E6%B6%88%E8%B2%BB%E7%A8%8E%EF%BC%9A7%2C100%E5%86%86%EF%BC%8F%E8%AB%8B%E6%B1%82%E9%A1%8D%EF%BC%9A78%2C100%E5%86%86" TargetMode="External" Id="rId49" /><Relationship Type="http://schemas.openxmlformats.org/officeDocument/2006/relationships/hyperlink" Target="https://mail.google.com/mail/?view=cm&amp;fs=1&amp;to=seito050%40example.com&amp;su=%E5%B0%8F%E5%B7%9D%E5%BF%83%E6%98%A5%E6%A7%98%202026%E5%B9%B48%E6%9C%88%E5%88%86%E8%AB%8B%E6%B1%82%E3%81%AE%E3%81%8A%E7%9F%A5%E3%82%89%E3%81%9B&amp;body=%E6%95%99%E5%AE%A4%EF%BC%9A%E6%9C%AC%E6%A0%A1%EF%BC%8F%E3%82%B3%E3%83%BC%E3%82%B9%EF%BC%9A%E6%98%A0%E5%83%8F%E6%8E%88%E6%A5%AD%EF%BC%8F%E3%82%B3%E3%83%9E%E6%95%B0%EF%BC%9A8%E3%82%B3%E3%83%9E%EF%BC%8F%E6%8E%88%E6%A5%AD%E6%96%99%EF%BC%9A16%2C800%E5%86%86%EF%BC%8F%E6%95%99%E6%9D%90%E8%B2%BB%EF%BC%9A3%2C000%E5%86%86%EF%BC%8F%E6%B6%88%E8%B2%BB%E7%A8%8E%EF%BC%9A1%2C980%E5%86%86%EF%BC%8F%E8%AB%8B%E6%B1%82%E9%A1%8D%EF%BC%9A21%2C780%E5%86%86" TargetMode="External" Id="rId50" /><Relationship Type="http://schemas.openxmlformats.org/officeDocument/2006/relationships/hyperlink" Target="https://mail.google.com/mail/?view=cm&amp;fs=1&amp;to=seito051%40example.com&amp;su=%E9%9D%92%E6%9C%A8%E5%BD%A9%E8%8A%B1%E6%A7%98%202026%E5%B9%B48%E6%9C%88%E5%88%86%E8%AB%8B%E6%B1%82%E3%81%AE%E3%81%8A%E7%9F%A5%E3%82%89%E3%81%9B&amp;body=%E6%95%99%E5%AE%A4%EF%BC%9A%E6%9C%AC%E6%A0%A1%EF%BC%8F%E3%82%B3%E3%83%BC%E3%82%B9%EF%BC%9A%E9%9B%86%E5%9B%A3%E6%8E%88%E6%A5%AD%EF%BC%8F%E3%82%B3%E3%83%9E%E6%95%B0%EF%BC%9A16%E3%82%B3%E3%83%9E%EF%BC%8F%E6%8E%88%E6%A5%AD%E6%96%99%EF%BC%9A40%2C000%E5%86%86%EF%BC%8F%E6%95%99%E6%9D%90%E8%B2%BB%EF%BC%9A4%2C500%E5%86%86%EF%BC%8F%E6%B6%88%E8%B2%BB%E7%A8%8E%EF%BC%9A4%2C450%E5%86%86%EF%BC%8F%E8%AB%8B%E6%B1%82%E9%A1%8D%EF%BC%9A48%2C950%E5%86%86" TargetMode="External" Id="rId51" /><Relationship Type="http://schemas.openxmlformats.org/officeDocument/2006/relationships/hyperlink" Target="https://mail.google.com/mail/?view=cm&amp;fs=1&amp;to=seito052%40example.com&amp;su=%E7%A6%8F%E7%94%B0%E8%93%AE%E6%A7%98%202026%E5%B9%B48%E6%9C%88%E5%88%86%E8%AB%8B%E6%B1%82%E3%81%AE%E3%81%8A%E7%9F%A5%E3%82%89%E3%81%9B&amp;body=%E6%95%99%E5%AE%A4%EF%BC%9A%E6%9C%AC%E6%A0%A1%EF%BC%8F%E3%82%B3%E3%83%BC%E3%82%B9%EF%BC%9A%E5%80%8B%E5%88%A5%E6%8C%87%E5%B0%8E%EF%BC%8F%E3%82%B3%E3%83%9E%E6%95%B0%EF%BC%9A16%E3%82%B3%E3%83%9E%EF%BC%8F%E6%8E%88%E6%A5%AD%E6%96%99%EF%BC%9A56%2C000%E5%86%86%EF%BC%8F%E6%95%99%E6%9D%90%E8%B2%BB%EF%BC%9A6%2C000%E5%86%86%EF%BC%8F%E6%B6%88%E8%B2%BB%E7%A8%8E%EF%BC%9A6%2C200%E5%86%86%EF%BC%8F%E8%AB%8B%E6%B1%82%E9%A1%8D%EF%BC%9A68%2C200%E5%86%86" TargetMode="External" Id="rId52" /><Relationship Type="http://schemas.openxmlformats.org/officeDocument/2006/relationships/hyperlink" Target="https://mail.google.com/mail/?view=cm&amp;fs=1&amp;to=seito053%40example.com&amp;su=%E4%BC%8A%E8%97%A4%E5%A4%A7%E8%BC%9D%E6%A7%98%202026%E5%B9%B48%E6%9C%88%E5%88%86%E8%AB%8B%E6%B1%82%E3%81%AE%E3%81%8A%E7%9F%A5%E3%82%89%E3%81%9B&amp;body=%E6%95%99%E5%AE%A4%EF%BC%9A%E6%9C%AC%E6%A0%A1%EF%BC%8F%E3%82%B3%E3%83%BC%E3%82%B9%EF%BC%9A%E9%9B%86%E5%9B%A3%E6%8E%88%E6%A5%AD%EF%BC%8F%E3%82%B3%E3%83%9E%E6%95%B0%EF%BC%9A16%E3%82%B3%E3%83%9E%EF%BC%8F%E6%8E%88%E6%A5%AD%E6%96%99%EF%BC%9A40%2C000%E5%86%86%EF%BC%8F%E6%95%99%E6%9D%90%E8%B2%BB%EF%BC%9A4%2C500%E5%86%86%EF%BC%8F%E6%B6%88%E8%B2%BB%E7%A8%8E%EF%BC%9A4%2C450%E5%86%86%EF%BC%8F%E8%AB%8B%E6%B1%82%E9%A1%8D%EF%BC%9A48%2C950%E5%86%86" TargetMode="External" Id="rId53" /><Relationship Type="http://schemas.openxmlformats.org/officeDocument/2006/relationships/hyperlink" Target="https://mail.google.com/mail/?view=cm&amp;fs=1&amp;to=seito054%40example.com&amp;su=%E5%B1%B1%E4%B8%8B%E5%84%AA%E5%A5%88%E6%A7%98%202026%E5%B9%B48%E6%9C%88%E5%88%86%E8%AB%8B%E6%B1%82%E3%81%AE%E3%81%8A%E7%9F%A5%E3%82%89%E3%81%9B&amp;body=%E6%95%99%E5%AE%A4%EF%BC%9A%E6%9C%AC%E6%A0%A1%EF%BC%8F%E3%82%B3%E3%83%BC%E3%82%B9%EF%BC%9A%E6%98%A0%E5%83%8F%E6%8E%88%E6%A5%AD%EF%BC%8F%E3%82%B3%E3%83%9E%E6%95%B0%EF%BC%9A12%E3%82%B3%E3%83%9E%EF%BC%8F%E6%8E%88%E6%A5%AD%E6%96%99%EF%BC%9A25%2C200%E5%86%86%EF%BC%8F%E6%95%99%E6%9D%90%E8%B2%BB%EF%BC%9A3%2C000%E5%86%86%EF%BC%8F%E6%B6%88%E8%B2%BB%E7%A8%8E%EF%BC%9A2%2C820%E5%86%86%EF%BC%8F%E8%AB%8B%E6%B1%82%E9%A1%8D%EF%BC%9A31%2C020%E5%86%86" TargetMode="External" Id="rId54" /><Relationship Type="http://schemas.openxmlformats.org/officeDocument/2006/relationships/hyperlink" Target="https://mail.google.com/mail/?view=cm&amp;fs=1&amp;to=seito055%40example.com&amp;su=%E6%A9%8B%E6%9C%AC%E8%93%AE%E6%A7%98%202026%E5%B9%B48%E6%9C%88%E5%88%86%E8%AB%8B%E6%B1%82%E3%81%AE%E3%81%8A%E7%9F%A5%E3%82%89%E3%81%9B&amp;body=%E6%95%99%E5%AE%A4%EF%BC%9A%E6%9C%AC%E6%A0%A1%EF%BC%8F%E3%82%B3%E3%83%BC%E3%82%B9%EF%BC%9A%E6%98%A0%E5%83%8F%E6%8E%88%E6%A5%AD%EF%BC%8F%E3%82%B3%E3%83%9E%E6%95%B0%EF%BC%9A4%E3%82%B3%E3%83%9E%EF%BC%8F%E6%8E%88%E6%A5%AD%E6%96%99%EF%BC%9A8%2C400%E5%86%86%EF%BC%8F%E6%95%99%E6%9D%90%E8%B2%BB%EF%BC%9A3%2C000%E5%86%86%EF%BC%8F%E6%B6%88%E8%B2%BB%E7%A8%8E%EF%BC%9A1%2C140%E5%86%86%EF%BC%8F%E8%AB%8B%E6%B1%82%E9%A1%8D%EF%BC%9A12%2C540%E5%86%86" TargetMode="External" Id="rId55" /><Relationship Type="http://schemas.openxmlformats.org/officeDocument/2006/relationships/hyperlink" Target="https://mail.google.com/mail/?view=cm&amp;fs=1&amp;to=seito056%40example.com&amp;su=%E9%81%A0%E8%97%A4%E5%BD%A9%E8%8A%B1%E6%A7%98%202026%E5%B9%B48%E6%9C%88%E5%88%86%E8%AB%8B%E6%B1%82%E3%81%AE%E3%81%8A%E7%9F%A5%E3%82%89%E3%81%9B&amp;body=%E6%95%99%E5%AE%A4%EF%BC%9A%E6%9C%AC%E6%A0%A1%EF%BC%8F%E3%82%B3%E3%83%BC%E3%82%B9%EF%BC%9A%E5%80%8B%E5%88%A5%E6%8C%87%E5%B0%8ES%EF%BC%8F%E3%82%B3%E3%83%9E%E6%95%B0%EF%BC%9A12%E3%82%B3%E3%83%9E%EF%BC%8F%E6%8E%88%E6%A5%AD%E6%96%99%EF%BC%9A48%2C000%E5%86%86%EF%BC%8F%E6%95%99%E6%9D%90%E8%B2%BB%EF%BC%9A7%2C000%E5%86%86%EF%BC%8F%E6%B6%88%E8%B2%BB%E7%A8%8E%EF%BC%9A5%2C500%E5%86%86%EF%BC%8F%E8%AB%8B%E6%B1%82%E9%A1%8D%EF%BC%9A60%2C500%E5%86%86" TargetMode="External" Id="rId56" /><Relationship Type="http://schemas.openxmlformats.org/officeDocument/2006/relationships/hyperlink" Target="https://mail.google.com/mail/?view=cm&amp;fs=1&amp;to=seito057%40example.com&amp;su=%E6%9E%97%E4%B8%80%E8%BC%9D%E6%A7%98%202026%E5%B9%B48%E6%9C%88%E5%88%86%E8%AB%8B%E6%B1%82%E3%81%AE%E3%81%8A%E7%9F%A5%E3%82%89%E3%81%9B&amp;body=%E6%95%99%E5%AE%A4%EF%BC%9A%E6%9C%AC%E6%A0%A1%EF%BC%8F%E3%82%B3%E3%83%BC%E3%82%B9%EF%BC%9A%E5%80%8B%E5%88%A5%E6%8C%87%E5%B0%8ES%EF%BC%8F%E3%82%B3%E3%83%9E%E6%95%B0%EF%BC%9A4%E3%82%B3%E3%83%9E%EF%BC%8F%E6%8E%88%E6%A5%AD%E6%96%99%EF%BC%9A16%2C000%E5%86%86%EF%BC%8F%E6%95%99%E6%9D%90%E8%B2%BB%EF%BC%9A7%2C000%E5%86%86%EF%BC%8F%E6%B6%88%E8%B2%BB%E7%A8%8E%EF%BC%9A2%2C300%E5%86%86%EF%BC%8F%E8%AB%8B%E6%B1%82%E9%A1%8D%EF%BC%9A25%2C300%E5%86%86" TargetMode="External" Id="rId57" /><Relationship Type="http://schemas.openxmlformats.org/officeDocument/2006/relationships/hyperlink" Target="https://mail.google.com/mail/?view=cm&amp;fs=1&amp;to=seito058%40example.com&amp;su=%E5%B0%8F%E9%87%8E%E5%92%B2%E8%89%AF%E6%A7%98%202026%E5%B9%B48%E6%9C%88%E5%88%86%E8%AB%8B%E6%B1%82%E3%81%AE%E3%81%8A%E7%9F%A5%E3%82%89%E3%81%9B&amp;body=%E6%95%99%E5%AE%A4%EF%BC%9A%E6%9C%AC%E6%A0%A1%EF%BC%8F%E3%82%B3%E3%83%BC%E3%82%B9%EF%BC%9A%E5%80%8B%E5%88%A5%E6%8C%87%E5%B0%8E%EF%BC%8F%E3%82%B3%E3%83%9E%E6%95%B0%EF%BC%9A8%E3%82%B3%E3%83%9E%EF%BC%8F%E6%8E%88%E6%A5%AD%E6%96%99%EF%BC%9A28%2C000%E5%86%86%EF%BC%8F%E6%95%99%E6%9D%90%E8%B2%BB%EF%BC%9A6%2C000%E5%86%86%EF%BC%8F%E6%B6%88%E8%B2%BB%E7%A8%8E%EF%BC%9A3%2C400%E5%86%86%EF%BC%8F%E8%AB%8B%E6%B1%82%E9%A1%8D%EF%BC%9A37%2C400%E5%86%86" TargetMode="External" Id="rId58" /><Relationship Type="http://schemas.openxmlformats.org/officeDocument/2006/relationships/hyperlink" Target="https://mail.google.com/mail/?view=cm&amp;fs=1&amp;to=seito059%40example.com&amp;su=%E5%BE%8C%E8%97%A4%E7%B4%AC%E6%A7%98%202026%E5%B9%B48%E6%9C%88%E5%88%86%E8%AB%8B%E6%B1%82%E3%81%AE%E3%81%8A%E7%9F%A5%E3%82%89%E3%81%9B&amp;body=%E6%95%99%E5%AE%A4%EF%BC%9A%E6%9C%AC%E6%A0%A1%EF%BC%8F%E3%82%B3%E3%83%BC%E3%82%B9%EF%BC%9A%E5%80%8B%E5%88%A5%E6%8C%87%E5%B0%8E%EF%BC%8F%E3%82%B3%E3%83%9E%E6%95%B0%EF%BC%9A8%E3%82%B3%E3%83%9E%EF%BC%8F%E6%8E%88%E6%A5%AD%E6%96%99%EF%BC%9A28%2C000%E5%86%86%EF%BC%8F%E6%95%99%E6%9D%90%E8%B2%BB%EF%BC%9A6%2C000%E5%86%86%EF%BC%8F%E6%B6%88%E8%B2%BB%E7%A8%8E%EF%BC%9A3%2C400%E5%86%86%EF%BC%8F%E8%AB%8B%E6%B1%82%E9%A1%8D%EF%BC%9A37%2C400%E5%86%86" TargetMode="External" Id="rId59" /><Relationship Type="http://schemas.openxmlformats.org/officeDocument/2006/relationships/hyperlink" Target="https://mail.google.com/mail/?view=cm&amp;fs=1&amp;to=seito060%40example.com&amp;su=%E5%B0%8F%E6%9E%97%E9%A2%AF%E5%A4%AA%E6%A7%98%202026%E5%B9%B48%E6%9C%88%E5%88%86%E8%AB%8B%E6%B1%82%E3%81%AE%E3%81%8A%E7%9F%A5%E3%82%89%E3%81%9B&amp;body=%E6%95%99%E5%AE%A4%EF%BC%9A%E6%9C%AC%E6%A0%A1%EF%BC%8F%E3%82%B3%E3%83%BC%E3%82%B9%EF%BC%9A%E6%98%A0%E5%83%8F%E6%8E%88%E6%A5%AD%EF%BC%8F%E3%82%B3%E3%83%9E%E6%95%B0%EF%BC%9A4%E3%82%B3%E3%83%9E%EF%BC%8F%E6%8E%88%E6%A5%AD%E6%96%99%EF%BC%9A8%2C400%E5%86%86%EF%BC%8F%E6%95%99%E6%9D%90%E8%B2%BB%EF%BC%9A3%2C000%E5%86%86%EF%BC%8F%E6%B6%88%E8%B2%BB%E7%A8%8E%EF%BC%9A1%2C140%E5%86%86%EF%BC%8F%E8%AB%8B%E6%B1%82%E9%A1%8D%EF%BC%9A12%2C540%E5%86%86" TargetMode="External" Id="rId60" /><Relationship Type="http://schemas.openxmlformats.org/officeDocument/2006/relationships/hyperlink" Target="https://mail.google.com/mail/?view=cm&amp;fs=1&amp;to=seito061%40example.com&amp;su=%E4%BC%8A%E8%97%A4%E9%A7%BF%E6%A7%98%202026%E5%B9%B48%E6%9C%88%E5%88%86%E8%AB%8B%E6%B1%82%E3%81%AE%E3%81%8A%E7%9F%A5%E3%82%89%E3%81%9B&amp;body=%E6%95%99%E5%AE%A4%EF%BC%9A%E6%9C%AC%E6%A0%A1%EF%BC%8F%E3%82%B3%E3%83%BC%E3%82%B9%EF%BC%9A%E6%98%A0%E5%83%8F%E6%8E%88%E6%A5%AD%EF%BC%8F%E3%82%B3%E3%83%9E%E6%95%B0%EF%BC%9A12%E3%82%B3%E3%83%9E%EF%BC%8F%E6%8E%88%E6%A5%AD%E6%96%99%EF%BC%9A25%2C200%E5%86%86%EF%BC%8F%E6%95%99%E6%9D%90%E8%B2%BB%EF%BC%9A3%2C000%E5%86%86%EF%BC%8F%E6%B6%88%E8%B2%BB%E7%A8%8E%EF%BC%9A2%2C820%E5%86%86%EF%BC%8F%E8%AB%8B%E6%B1%82%E9%A1%8D%EF%BC%9A31%2C020%E5%86%86" TargetMode="External" Id="rId61" /><Relationship Type="http://schemas.openxmlformats.org/officeDocument/2006/relationships/hyperlink" Target="https://mail.google.com/mail/?view=cm&amp;fs=1&amp;to=seito062%40example.com&amp;su=%E5%B1%B1%E4%B8%8B%E5%A4%A7%E5%92%8C%E6%A7%98%202026%E5%B9%B48%E6%9C%88%E5%88%86%E8%AB%8B%E6%B1%82%E3%81%AE%E3%81%8A%E7%9F%A5%E3%82%89%E3%81%9B&amp;body=%E6%95%99%E5%AE%A4%EF%BC%9A%E6%9C%AC%E6%A0%A1%EF%BC%8F%E3%82%B3%E3%83%BC%E3%82%B9%EF%BC%9A%E5%80%8B%E5%88%A5%E6%8C%87%E5%B0%8E%EF%BC%8F%E3%82%B3%E3%83%9E%E6%95%B0%EF%BC%9A20%E3%82%B3%E3%83%9E%EF%BC%8F%E6%8E%88%E6%A5%AD%E6%96%99%EF%BC%9A70%2C000%E5%86%86%EF%BC%8F%E6%95%99%E6%9D%90%E8%B2%BB%EF%BC%9A6%2C000%E5%86%86%EF%BC%8F%E6%B6%88%E8%B2%BB%E7%A8%8E%EF%BC%9A7%2C600%E5%86%86%EF%BC%8F%E8%AB%8B%E6%B1%82%E9%A1%8D%EF%BC%9A83%2C600%E5%86%86" TargetMode="External" Id="rId62" /><Relationship Type="http://schemas.openxmlformats.org/officeDocument/2006/relationships/hyperlink" Target="https://mail.google.com/mail/?view=cm&amp;fs=1&amp;to=seito063%40example.com&amp;su=%E5%BE%8C%E8%97%A4%E7%BF%94%E5%A4%AA%E6%A7%98%202026%E5%B9%B48%E6%9C%88%E5%88%86%E8%AB%8B%E6%B1%82%E3%81%AE%E3%81%8A%E7%9F%A5%E3%82%89%E3%81%9B&amp;body=%E6%95%99%E5%AE%A4%EF%BC%9A%E6%9C%AC%E6%A0%A1%EF%BC%8F%E3%82%B3%E3%83%BC%E3%82%B9%EF%BC%9A%E5%80%8B%E5%88%A5%E6%8C%87%E5%B0%8E%EF%BC%8F%E3%82%B3%E3%83%9E%E6%95%B0%EF%BC%9A12%E3%82%B3%E3%83%9E%EF%BC%8F%E6%8E%88%E6%A5%AD%E6%96%99%EF%BC%9A42%2C000%E5%86%86%EF%BC%8F%E6%95%99%E6%9D%90%E8%B2%BB%EF%BC%9A6%2C000%E5%86%86%EF%BC%8F%E6%B6%88%E8%B2%BB%E7%A8%8E%EF%BC%9A4%2C800%E5%86%86%EF%BC%8F%E8%AB%8B%E6%B1%82%E9%A1%8D%EF%BC%9A52%2C800%E5%86%86" TargetMode="External" Id="rId63" /><Relationship Type="http://schemas.openxmlformats.org/officeDocument/2006/relationships/hyperlink" Target="https://mail.google.com/mail/?view=cm&amp;fs=1&amp;to=seito064%40example.com&amp;su=%E9%88%B4%E6%9C%A8%E7%B5%90%E8%A1%A3%E6%A7%98%202026%E5%B9%B48%E6%9C%88%E5%88%86%E8%AB%8B%E6%B1%82%E3%81%AE%E3%81%8A%E7%9F%A5%E3%82%89%E3%81%9B&amp;body=%E6%95%99%E5%AE%A4%EF%BC%9A%E6%9C%AC%E6%A0%A1%EF%BC%8F%E3%82%B3%E3%83%BC%E3%82%B9%EF%BC%9A%E5%80%8B%E5%88%A5%E6%8C%87%E5%B0%8ES%EF%BC%8F%E3%82%B3%E3%83%9E%E6%95%B0%EF%BC%9A12%E3%82%B3%E3%83%9E%EF%BC%8F%E6%8E%88%E6%A5%AD%E6%96%99%EF%BC%9A48%2C000%E5%86%86%EF%BC%8F%E6%95%99%E6%9D%90%E8%B2%BB%EF%BC%9A7%2C000%E5%86%86%EF%BC%8F%E6%B6%88%E8%B2%BB%E7%A8%8E%EF%BC%9A5%2C500%E5%86%86%EF%BC%8F%E8%AB%8B%E6%B1%82%E9%A1%8D%EF%BC%9A60%2C500%E5%86%86" TargetMode="External" Id="rId64" /><Relationship Type="http://schemas.openxmlformats.org/officeDocument/2006/relationships/hyperlink" Target="https://mail.google.com/mail/?view=cm&amp;fs=1&amp;to=seito065%40example.com&amp;su=%E4%B8%AD%E9%87%8E%E4%B8%80%E8%BC%9D%E6%A7%98%202026%E5%B9%B48%E6%9C%88%E5%88%86%E8%AB%8B%E6%B1%82%E3%81%AE%E3%81%8A%E7%9F%A5%E3%82%89%E3%81%9B&amp;body=%E6%95%99%E5%AE%A4%EF%BC%9A%E6%9C%AC%E6%A0%A1%EF%BC%8F%E3%82%B3%E3%83%BC%E3%82%B9%EF%BC%9A%E6%98%A0%E5%83%8F%E6%8E%88%E6%A5%AD%EF%BC%8F%E3%82%B3%E3%83%9E%E6%95%B0%EF%BC%9A8%E3%82%B3%E3%83%9E%EF%BC%8F%E6%8E%88%E6%A5%AD%E6%96%99%EF%BC%9A16%2C800%E5%86%86%EF%BC%8F%E6%95%99%E6%9D%90%E8%B2%BB%EF%BC%9A3%2C000%E5%86%86%EF%BC%8F%E6%B6%88%E8%B2%BB%E7%A8%8E%EF%BC%9A1%2C980%E5%86%86%EF%BC%8F%E8%AB%8B%E6%B1%82%E9%A1%8D%EF%BC%9A21%2C780%E5%86%86" TargetMode="External" Id="rId65" /><Relationship Type="http://schemas.openxmlformats.org/officeDocument/2006/relationships/hyperlink" Target="https://mail.google.com/mail/?view=cm&amp;fs=1&amp;to=seito066%40example.com&amp;su=%E5%BE%8C%E8%97%A4%E6%B9%8A%E6%A7%98%202026%E5%B9%B48%E6%9C%88%E5%88%86%E8%AB%8B%E6%B1%82%E3%81%AE%E3%81%8A%E7%9F%A5%E3%82%89%E3%81%9B&amp;body=%E6%95%99%E5%AE%A4%EF%BC%9A%E6%9C%AC%E6%A0%A1%EF%BC%8F%E3%82%B3%E3%83%BC%E3%82%B9%EF%BC%9A%E5%80%8B%E5%88%A5%E6%8C%87%E5%B0%8E%EF%BC%8F%E3%82%B3%E3%83%9E%E6%95%B0%EF%BC%9A4%E3%82%B3%E3%83%9E%EF%BC%8F%E6%8E%88%E6%A5%AD%E6%96%99%EF%BC%9A14%2C000%E5%86%86%EF%BC%8F%E6%95%99%E6%9D%90%E8%B2%BB%EF%BC%9A6%2C000%E5%86%86%EF%BC%8F%E6%B6%88%E8%B2%BB%E7%A8%8E%EF%BC%9A2%2C000%E5%86%86%EF%BC%8F%E8%AB%8B%E6%B1%82%E9%A1%8D%EF%BC%9A22%2C000%E5%86%86" TargetMode="External" Id="rId66" /><Relationship Type="http://schemas.openxmlformats.org/officeDocument/2006/relationships/hyperlink" Target="https://mail.google.com/mail/?view=cm&amp;fs=1&amp;to=seito067%40example.com&amp;su=%E4%BD%90%E3%80%85%E6%9C%A8%E3%81%95%E3%81%8F%E3%82%89%E6%A7%98%202026%E5%B9%B48%E6%9C%88%E5%88%86%E8%AB%8B%E6%B1%82%E3%81%AE%E3%81%8A%E7%9F%A5%E3%82%89%E3%81%9B&amp;body=%E6%95%99%E5%AE%A4%EF%BC%9A%E6%9C%AC%E6%A0%A1%EF%BC%8F%E3%82%B3%E3%83%BC%E3%82%B9%EF%BC%9A%E5%80%8B%E5%88%A5%E6%8C%87%E5%B0%8ES%EF%BC%8F%E3%82%B3%E3%83%9E%E6%95%B0%EF%BC%9A20%E3%82%B3%E3%83%9E%EF%BC%8F%E6%8E%88%E6%A5%AD%E6%96%99%EF%BC%9A80%2C000%E5%86%86%EF%BC%8F%E6%95%99%E6%9D%90%E8%B2%BB%EF%BC%9A7%2C000%E5%86%86%EF%BC%8F%E6%B6%88%E8%B2%BB%E7%A8%8E%EF%BC%9A8%2C700%E5%86%86%EF%BC%8F%E8%AB%8B%E6%B1%82%E9%A1%8D%EF%BC%9A95%2C700%E5%86%86" TargetMode="External" Id="rId67" /><Relationship Type="http://schemas.openxmlformats.org/officeDocument/2006/relationships/hyperlink" Target="https://mail.google.com/mail/?view=cm&amp;fs=1&amp;to=seito068%40example.com&amp;su=%E6%9D%BE%E6%9C%AC%E6%8B%93%E4%B9%9F%E6%A7%98%202026%E5%B9%B48%E6%9C%88%E5%88%86%E8%AB%8B%E6%B1%82%E3%81%AE%E3%81%8A%E7%9F%A5%E3%82%89%E3%81%9B&amp;body=%E6%95%99%E5%AE%A4%EF%BC%9A%E6%9C%AC%E6%A0%A1%EF%BC%8F%E3%82%B3%E3%83%BC%E3%82%B9%EF%BC%9A%E9%9B%86%E5%9B%A3%E6%8E%88%E6%A5%AD%EF%BC%8F%E3%82%B3%E3%83%9E%E6%95%B0%EF%BC%9A20%E3%82%B3%E3%83%9E%EF%BC%8F%E6%8E%88%E6%A5%AD%E6%96%99%EF%BC%9A50%2C000%E5%86%86%EF%BC%8F%E6%95%99%E6%9D%90%E8%B2%BB%EF%BC%9A4%2C500%E5%86%86%EF%BC%8F%E6%B6%88%E8%B2%BB%E7%A8%8E%EF%BC%9A5%2C450%E5%86%86%EF%BC%8F%E8%AB%8B%E6%B1%82%E9%A1%8D%EF%BC%9A59%2C950%E5%86%86" TargetMode="External" Id="rId68" /><Relationship Type="http://schemas.openxmlformats.org/officeDocument/2006/relationships/hyperlink" Target="https://mail.google.com/mail/?view=cm&amp;fs=1&amp;to=seito069%40example.com&amp;su=%E9%AB%98%E6%A9%8B%E9%99%BD%E8%8F%9C%E6%A7%98%202026%E5%B9%B48%E6%9C%88%E5%88%86%E8%AB%8B%E6%B1%82%E3%81%AE%E3%81%8A%E7%9F%A5%E3%82%89%E3%81%9B&amp;body=%E6%95%99%E5%AE%A4%EF%BC%9A%E6%9C%AC%E6%A0%A1%EF%BC%8F%E3%82%B3%E3%83%BC%E3%82%B9%EF%BC%9A%E9%9B%86%E5%9B%A3%E6%8E%88%E6%A5%AD%EF%BC%8F%E3%82%B3%E3%83%9E%E6%95%B0%EF%BC%9A4%E3%82%B3%E3%83%9E%EF%BC%8F%E6%8E%88%E6%A5%AD%E6%96%99%EF%BC%9A10%2C000%E5%86%86%EF%BC%8F%E6%95%99%E6%9D%90%E8%B2%BB%EF%BC%9A4%2C500%E5%86%86%EF%BC%8F%E6%B6%88%E8%B2%BB%E7%A8%8E%EF%BC%9A1%2C450%E5%86%86%EF%BC%8F%E8%AB%8B%E6%B1%82%E9%A1%8D%EF%BC%9A15%2C950%E5%86%86" TargetMode="External" Id="rId69" /><Relationship Type="http://schemas.openxmlformats.org/officeDocument/2006/relationships/hyperlink" Target="https://mail.google.com/mail/?view=cm&amp;fs=1&amp;to=seito070%40example.com&amp;su=%E9%9D%92%E6%9C%A8%E6%B9%8A%E6%A7%98%202026%E5%B9%B48%E6%9C%88%E5%88%86%E8%AB%8B%E6%B1%82%E3%81%AE%E3%81%8A%E7%9F%A5%E3%82%89%E3%81%9B&amp;body=%E6%95%99%E5%AE%A4%EF%BC%9A%E6%9C%AC%E6%A0%A1%EF%BC%8F%E3%82%B3%E3%83%BC%E3%82%B9%EF%BC%9A%E9%9B%86%E5%9B%A3%E6%8E%88%E6%A5%AD%EF%BC%8F%E3%82%B3%E3%83%9E%E6%95%B0%EF%BC%9A4%E3%82%B3%E3%83%9E%EF%BC%8F%E6%8E%88%E6%A5%AD%E6%96%99%EF%BC%9A10%2C000%E5%86%86%EF%BC%8F%E6%95%99%E6%9D%90%E8%B2%BB%EF%BC%9A4%2C500%E5%86%86%EF%BC%8F%E6%B6%88%E8%B2%BB%E7%A8%8E%EF%BC%9A1%2C450%E5%86%86%EF%BC%8F%E8%AB%8B%E6%B1%82%E9%A1%8D%EF%BC%9A15%2C950%E5%86%86" TargetMode="External" Id="rId70" /><Relationship Type="http://schemas.openxmlformats.org/officeDocument/2006/relationships/hyperlink" Target="https://mail.google.com/mail/?view=cm&amp;fs=1&amp;to=seito071%40example.com&amp;su=%E9%88%B4%E6%9C%A8%E7%90%B4%E9%9F%B3%E6%A7%98%202026%E5%B9%B48%E6%9C%88%E5%88%86%E8%AB%8B%E6%B1%82%E3%81%AE%E3%81%8A%E7%9F%A5%E3%82%89%E3%81%9B&amp;body=%E6%95%99%E5%AE%A4%EF%BC%9A%E6%9D%B1%E6%A0%A1%EF%BC%8F%E3%82%B3%E3%83%BC%E3%82%B9%EF%BC%9A%E6%98%A0%E5%83%8F%E6%8E%88%E6%A5%AD%EF%BC%8F%E3%82%B3%E3%83%9E%E6%95%B0%EF%BC%9A4%E3%82%B3%E3%83%9E%EF%BC%8F%E6%8E%88%E6%A5%AD%E6%96%99%EF%BC%9A8%2C400%E5%86%86%EF%BC%8F%E6%95%99%E6%9D%90%E8%B2%BB%EF%BC%9A3%2C000%E5%86%86%EF%BC%8F%E6%B6%88%E8%B2%BB%E7%A8%8E%EF%BC%9A1%2C140%E5%86%86%EF%BC%8F%E8%AB%8B%E6%B1%82%E9%A1%8D%EF%BC%9A12%2C540%E5%86%86" TargetMode="External" Id="rId71" /><Relationship Type="http://schemas.openxmlformats.org/officeDocument/2006/relationships/hyperlink" Target="https://mail.google.com/mail/?view=cm&amp;fs=1&amp;to=seito072%40example.com&amp;su=%E5%B2%A1%E6%9C%AC%E5%BD%A9%E8%8A%B1%E6%A7%98%202026%E5%B9%B48%E6%9C%88%E5%88%86%E8%AB%8B%E6%B1%82%E3%81%AE%E3%81%8A%E7%9F%A5%E3%82%89%E3%81%9B&amp;body=%E6%95%99%E5%AE%A4%EF%BC%9A%E6%9D%B1%E6%A0%A1%EF%BC%8F%E3%82%B3%E3%83%BC%E3%82%B9%EF%BC%9A%E9%9B%86%E5%9B%A3%E6%8E%88%E6%A5%AD%EF%BC%8F%E3%82%B3%E3%83%9E%E6%95%B0%EF%BC%9A16%E3%82%B3%E3%83%9E%EF%BC%8F%E6%8E%88%E6%A5%AD%E6%96%99%EF%BC%9A40%2C000%E5%86%86%EF%BC%8F%E6%95%99%E6%9D%90%E8%B2%BB%EF%BC%9A4%2C500%E5%86%86%EF%BC%8F%E6%B6%88%E8%B2%BB%E7%A8%8E%EF%BC%9A4%2C450%E5%86%86%EF%BC%8F%E8%AB%8B%E6%B1%82%E9%A1%8D%EF%BC%9A48%2C950%E5%86%86" TargetMode="External" Id="rId72" /><Relationship Type="http://schemas.openxmlformats.org/officeDocument/2006/relationships/hyperlink" Target="https://mail.google.com/mail/?view=cm&amp;fs=1&amp;to=seito073%40example.com&amp;su=%E4%BA%95%E4%B8%8A%E8%93%AE%E6%A7%98%202026%E5%B9%B48%E6%9C%88%E5%88%86%E8%AB%8B%E6%B1%82%E3%81%AE%E3%81%8A%E7%9F%A5%E3%82%89%E3%81%9B&amp;body=%E6%95%99%E5%AE%A4%EF%BC%9A%E6%9D%B1%E6%A0%A1%EF%BC%8F%E3%82%B3%E3%83%BC%E3%82%B9%EF%BC%9A%E6%98%A0%E5%83%8F%E6%8E%88%E6%A5%AD%EF%BC%8F%E3%82%B3%E3%83%9E%E6%95%B0%EF%BC%9A8%E3%82%B3%E3%83%9E%EF%BC%8F%E6%8E%88%E6%A5%AD%E6%96%99%EF%BC%9A16%2C800%E5%86%86%EF%BC%8F%E6%95%99%E6%9D%90%E8%B2%BB%EF%BC%9A3%2C000%E5%86%86%EF%BC%8F%E6%B6%88%E8%B2%BB%E7%A8%8E%EF%BC%9A1%2C980%E5%86%86%EF%BC%8F%E8%AB%8B%E6%B1%82%E9%A1%8D%EF%BC%9A21%2C780%E5%86%86" TargetMode="External" Id="rId73" /><Relationship Type="http://schemas.openxmlformats.org/officeDocument/2006/relationships/hyperlink" Target="https://mail.google.com/mail/?view=cm&amp;fs=1&amp;to=seito074%40example.com&amp;su=%E5%8A%A0%E8%97%A4%E4%B8%80%E8%BC%9D%E6%A7%98%202026%E5%B9%B48%E6%9C%88%E5%88%86%E8%AB%8B%E6%B1%82%E3%81%AE%E3%81%8A%E7%9F%A5%E3%82%89%E3%81%9B&amp;body=%E6%95%99%E5%AE%A4%EF%BC%9A%E6%9D%B1%E6%A0%A1%EF%BC%8F%E3%82%B3%E3%83%BC%E3%82%B9%EF%BC%9A%E9%9B%86%E5%9B%A3%E6%8E%88%E6%A5%AD%EF%BC%8F%E3%82%B3%E3%83%9E%E6%95%B0%EF%BC%9A20%E3%82%B3%E3%83%9E%EF%BC%8F%E6%8E%88%E6%A5%AD%E6%96%99%EF%BC%9A50%2C000%E5%86%86%EF%BC%8F%E6%95%99%E6%9D%90%E8%B2%BB%EF%BC%9A4%2C500%E5%86%86%EF%BC%8F%E6%B6%88%E8%B2%BB%E7%A8%8E%EF%BC%9A5%2C450%E5%86%86%EF%BC%8F%E8%AB%8B%E6%B1%82%E9%A1%8D%EF%BC%9A59%2C950%E5%86%86" TargetMode="External" Id="rId74" /><Relationship Type="http://schemas.openxmlformats.org/officeDocument/2006/relationships/hyperlink" Target="https://mail.google.com/mail/?view=cm&amp;fs=1&amp;to=seito075%40example.com&amp;su=%E6%B8%A1%E8%BE%BA%E7%85%8C%E6%A7%98%202026%E5%B9%B48%E6%9C%88%E5%88%86%E8%AB%8B%E6%B1%82%E3%81%AE%E3%81%8A%E7%9F%A5%E3%82%89%E3%81%9B&amp;body=%E6%95%99%E5%AE%A4%EF%BC%9A%E6%9D%B1%E6%A0%A1%EF%BC%8F%E3%82%B3%E3%83%BC%E3%82%B9%EF%BC%9A%E6%98%A0%E5%83%8F%E6%8E%88%E6%A5%AD%EF%BC%8F%E3%82%B3%E3%83%9E%E6%95%B0%EF%BC%9A16%E3%82%B3%E3%83%9E%EF%BC%8F%E6%8E%88%E6%A5%AD%E6%96%99%EF%BC%9A33%2C600%E5%86%86%EF%BC%8F%E6%95%99%E6%9D%90%E8%B2%BB%EF%BC%9A3%2C000%E5%86%86%EF%BC%8F%E6%B6%88%E8%B2%BB%E7%A8%8E%EF%BC%9A3%2C660%E5%86%86%EF%BC%8F%E8%AB%8B%E6%B1%82%E9%A1%8D%EF%BC%9A40%2C260%E5%86%86" TargetMode="External" Id="rId75" /><Relationship Type="http://schemas.openxmlformats.org/officeDocument/2006/relationships/hyperlink" Target="https://mail.google.com/mail/?view=cm&amp;fs=1&amp;to=seito076%40example.com&amp;su=%E5%B0%8F%E5%B7%9D%E7%BE%8E%E6%9C%88%E6%A7%98%202026%E5%B9%B48%E6%9C%88%E5%88%86%E8%AB%8B%E6%B1%82%E3%81%AE%E3%81%8A%E7%9F%A5%E3%82%89%E3%81%9B&amp;body=%E6%95%99%E5%AE%A4%EF%BC%9A%E6%9D%B1%E6%A0%A1%EF%BC%8F%E3%82%B3%E3%83%BC%E3%82%B9%EF%BC%9A%E9%9B%86%E5%9B%A3%E6%8E%88%E6%A5%AD%EF%BC%8F%E3%82%B3%E3%83%9E%E6%95%B0%EF%BC%9A12%E3%82%B3%E3%83%9E%EF%BC%8F%E6%8E%88%E6%A5%AD%E6%96%99%EF%BC%9A30%2C000%E5%86%86%EF%BC%8F%E6%95%99%E6%9D%90%E8%B2%BB%EF%BC%9A4%2C500%E5%86%86%EF%BC%8F%E6%B6%88%E8%B2%BB%E7%A8%8E%EF%BC%9A3%2C450%E5%86%86%EF%BC%8F%E8%AB%8B%E6%B1%82%E9%A1%8D%EF%BC%9A37%2C950%E5%86%86" TargetMode="External" Id="rId76" /><Relationship Type="http://schemas.openxmlformats.org/officeDocument/2006/relationships/hyperlink" Target="https://mail.google.com/mail/?view=cm&amp;fs=1&amp;to=seito077%40example.com&amp;su=%E5%B2%A1%E6%9C%AC%E9%99%BD%E5%90%91%E6%A7%98%202026%E5%B9%B48%E6%9C%88%E5%88%86%E8%AB%8B%E6%B1%82%E3%81%AE%E3%81%8A%E7%9F%A5%E3%82%89%E3%81%9B&amp;body=%E6%95%99%E5%AE%A4%EF%BC%9A%E6%9D%B1%E6%A0%A1%EF%BC%8F%E3%82%B3%E3%83%BC%E3%82%B9%EF%BC%9A%E5%80%8B%E5%88%A5%E6%8C%87%E5%B0%8ES%EF%BC%8F%E3%82%B3%E3%83%9E%E6%95%B0%EF%BC%9A12%E3%82%B3%E3%83%9E%EF%BC%8F%E6%8E%88%E6%A5%AD%E6%96%99%EF%BC%9A48%2C000%E5%86%86%EF%BC%8F%E6%95%99%E6%9D%90%E8%B2%BB%EF%BC%9A7%2C000%E5%86%86%EF%BC%8F%E6%B6%88%E8%B2%BB%E7%A8%8E%EF%BC%9A5%2C500%E5%86%86%EF%BC%8F%E8%AB%8B%E6%B1%82%E9%A1%8D%EF%BC%9A60%2C500%E5%86%86" TargetMode="External" Id="rId77" /><Relationship Type="http://schemas.openxmlformats.org/officeDocument/2006/relationships/hyperlink" Target="https://mail.google.com/mail/?view=cm&amp;fs=1&amp;to=seito078%40example.com&amp;su=%E5%B0%8F%E5%B7%9D%E9%99%BD%E5%90%91%E6%A7%98%202026%E5%B9%B48%E6%9C%88%E5%88%86%E8%AB%8B%E6%B1%82%E3%81%AE%E3%81%8A%E7%9F%A5%E3%82%89%E3%81%9B&amp;body=%E6%95%99%E5%AE%A4%EF%BC%9A%E6%9D%B1%E6%A0%A1%EF%BC%8F%E3%82%B3%E3%83%BC%E3%82%B9%EF%BC%9A%E5%80%8B%E5%88%A5%E6%8C%87%E5%B0%8E%EF%BC%8F%E3%82%B3%E3%83%9E%E6%95%B0%EF%BC%9A16%E3%82%B3%E3%83%9E%EF%BC%8F%E6%8E%88%E6%A5%AD%E6%96%99%EF%BC%9A56%2C000%E5%86%86%EF%BC%8F%E6%95%99%E6%9D%90%E8%B2%BB%EF%BC%9A6%2C000%E5%86%86%EF%BC%8F%E6%B6%88%E8%B2%BB%E7%A8%8E%EF%BC%9A6%2C200%E5%86%86%EF%BC%8F%E8%AB%8B%E6%B1%82%E9%A1%8D%EF%BC%9A68%2C200%E5%86%86" TargetMode="External" Id="rId78" /><Relationship Type="http://schemas.openxmlformats.org/officeDocument/2006/relationships/hyperlink" Target="https://mail.google.com/mail/?view=cm&amp;fs=1&amp;to=seito079%40example.com&amp;su=%E7%94%B0%E4%B8%AD%E7%B5%90%E8%A1%A3%E6%A7%98%202026%E5%B9%B48%E6%9C%88%E5%88%86%E8%AB%8B%E6%B1%82%E3%81%AE%E3%81%8A%E7%9F%A5%E3%82%89%E3%81%9B&amp;body=%E6%95%99%E5%AE%A4%EF%BC%9A%E6%9D%B1%E6%A0%A1%EF%BC%8F%E3%82%B3%E3%83%BC%E3%82%B9%EF%BC%9A%E9%9B%86%E5%9B%A3%E6%8E%88%E6%A5%AD%EF%BC%8F%E3%82%B3%E3%83%9E%E6%95%B0%EF%BC%9A4%E3%82%B3%E3%83%9E%EF%BC%8F%E6%8E%88%E6%A5%AD%E6%96%99%EF%BC%9A10%2C000%E5%86%86%EF%BC%8F%E6%95%99%E6%9D%90%E8%B2%BB%EF%BC%9A4%2C500%E5%86%86%EF%BC%8F%E6%B6%88%E8%B2%BB%E7%A8%8E%EF%BC%9A1%2C450%E5%86%86%EF%BC%8F%E8%AB%8B%E6%B1%82%E9%A1%8D%EF%BC%9A15%2C950%E5%86%86" TargetMode="External" Id="rId79" /><Relationship Type="http://schemas.openxmlformats.org/officeDocument/2006/relationships/hyperlink" Target="https://mail.google.com/mail/?view=cm&amp;fs=1&amp;to=seito080%40example.com&amp;su=%E6%A9%8B%E6%9C%AC%E7%85%8C%E6%A7%98%202026%E5%B9%B48%E6%9C%88%E5%88%86%E8%AB%8B%E6%B1%82%E3%81%AE%E3%81%8A%E7%9F%A5%E3%82%89%E3%81%9B&amp;body=%E6%95%99%E5%AE%A4%EF%BC%9A%E6%9D%B1%E6%A0%A1%EF%BC%8F%E3%82%B3%E3%83%BC%E3%82%B9%EF%BC%9A%E9%9B%86%E5%9B%A3%E6%8E%88%E6%A5%AD%EF%BC%8F%E3%82%B3%E3%83%9E%E6%95%B0%EF%BC%9A8%E3%82%B3%E3%83%9E%EF%BC%8F%E6%8E%88%E6%A5%AD%E6%96%99%EF%BC%9A20%2C000%E5%86%86%EF%BC%8F%E6%95%99%E6%9D%90%E8%B2%BB%EF%BC%9A4%2C500%E5%86%86%EF%BC%8F%E6%B6%88%E8%B2%BB%E7%A8%8E%EF%BC%9A2%2C450%E5%86%86%EF%BC%8F%E8%AB%8B%E6%B1%82%E9%A1%8D%EF%BC%9A26%2C950%E5%86%86" TargetMode="External" Id="rId80" /><Relationship Type="http://schemas.openxmlformats.org/officeDocument/2006/relationships/hyperlink" Target="https://mail.google.com/mail/?view=cm&amp;fs=1&amp;to=seito081%40example.com&amp;su=%E6%9D%BE%E6%9C%AC%E8%90%8C%E6%A7%98%202026%E5%B9%B48%E6%9C%88%E5%88%86%E8%AB%8B%E6%B1%82%E3%81%AE%E3%81%8A%E7%9F%A5%E3%82%89%E3%81%9B&amp;body=%E6%95%99%E5%AE%A4%EF%BC%9A%E6%9D%B1%E6%A0%A1%EF%BC%8F%E3%82%B3%E3%83%BC%E3%82%B9%EF%BC%9A%E5%80%8B%E5%88%A5%E6%8C%87%E5%B0%8E%EF%BC%8F%E3%82%B3%E3%83%9E%E6%95%B0%EF%BC%9A12%E3%82%B3%E3%83%9E%EF%BC%8F%E6%8E%88%E6%A5%AD%E6%96%99%EF%BC%9A42%2C000%E5%86%86%EF%BC%8F%E6%95%99%E6%9D%90%E8%B2%BB%EF%BC%9A6%2C000%E5%86%86%EF%BC%8F%E6%B6%88%E8%B2%BB%E7%A8%8E%EF%BC%9A4%2C800%E5%86%86%EF%BC%8F%E8%AB%8B%E6%B1%82%E9%A1%8D%EF%BC%9A52%2C800%E5%86%86" TargetMode="External" Id="rId81" /><Relationship Type="http://schemas.openxmlformats.org/officeDocument/2006/relationships/hyperlink" Target="https://mail.google.com/mail/?view=cm&amp;fs=1&amp;to=seito082%40example.com&amp;su=%E5%B0%8F%E9%87%8E%E7%B5%90%E8%A1%A3%E6%A7%98%202026%E5%B9%B48%E6%9C%88%E5%88%86%E8%AB%8B%E6%B1%82%E3%81%AE%E3%81%8A%E7%9F%A5%E3%82%89%E3%81%9B&amp;body=%E6%95%99%E5%AE%A4%EF%BC%9A%E6%9D%B1%E6%A0%A1%EF%BC%8F%E3%82%B3%E3%83%BC%E3%82%B9%EF%BC%9A%E9%9B%86%E5%9B%A3%E6%8E%88%E6%A5%AD%EF%BC%8F%E3%82%B3%E3%83%9E%E6%95%B0%EF%BC%9A12%E3%82%B3%E3%83%9E%EF%BC%8F%E6%8E%88%E6%A5%AD%E6%96%99%EF%BC%9A30%2C000%E5%86%86%EF%BC%8F%E6%95%99%E6%9D%90%E8%B2%BB%EF%BC%9A4%2C500%E5%86%86%EF%BC%8F%E6%B6%88%E8%B2%BB%E7%A8%8E%EF%BC%9A3%2C450%E5%86%86%EF%BC%8F%E8%AB%8B%E6%B1%82%E9%A1%8D%EF%BC%9A37%2C950%E5%86%86" TargetMode="External" Id="rId82" /><Relationship Type="http://schemas.openxmlformats.org/officeDocument/2006/relationships/hyperlink" Target="https://mail.google.com/mail/?view=cm&amp;fs=1&amp;to=seito083%40example.com&amp;su=%E8%97%A4%E4%BA%95%E9%99%BD%E5%90%91%E6%A7%98%202026%E5%B9%B48%E6%9C%88%E5%88%86%E8%AB%8B%E6%B1%82%E3%81%AE%E3%81%8A%E7%9F%A5%E3%82%89%E3%81%9B&amp;body=%E6%95%99%E5%AE%A4%EF%BC%9A%E6%9D%B1%E6%A0%A1%EF%BC%8F%E3%82%B3%E3%83%BC%E3%82%B9%EF%BC%9A%E5%80%8B%E5%88%A5%E6%8C%87%E5%B0%8ES%EF%BC%8F%E3%82%B3%E3%83%9E%E6%95%B0%EF%BC%9A20%E3%82%B3%E3%83%9E%EF%BC%8F%E6%8E%88%E6%A5%AD%E6%96%99%EF%BC%9A80%2C000%E5%86%86%EF%BC%8F%E6%95%99%E6%9D%90%E8%B2%BB%EF%BC%9A7%2C000%E5%86%86%EF%BC%8F%E6%B6%88%E8%B2%BB%E7%A8%8E%EF%BC%9A8%2C700%E5%86%86%EF%BC%8F%E8%AB%8B%E6%B1%82%E9%A1%8D%EF%BC%9A95%2C700%E5%86%86" TargetMode="External" Id="rId83" /><Relationship Type="http://schemas.openxmlformats.org/officeDocument/2006/relationships/hyperlink" Target="https://mail.google.com/mail/?view=cm&amp;fs=1&amp;to=seito084%40example.com&amp;su=%E6%9D%91%E4%B8%8A%E5%B0%8A%E6%A7%98%202026%E5%B9%B48%E6%9C%88%E5%88%86%E8%AB%8B%E6%B1%82%E3%81%AE%E3%81%8A%E7%9F%A5%E3%82%89%E3%81%9B&amp;body=%E6%95%99%E5%AE%A4%EF%BC%9A%E6%9D%B1%E6%A0%A1%EF%BC%8F%E3%82%B3%E3%83%BC%E3%82%B9%EF%BC%9A%E5%80%8B%E5%88%A5%E6%8C%87%E5%B0%8ES%EF%BC%8F%E3%82%B3%E3%83%9E%E6%95%B0%EF%BC%9A8%E3%82%B3%E3%83%9E%EF%BC%8F%E6%8E%88%E6%A5%AD%E6%96%99%EF%BC%9A32%2C000%E5%86%86%EF%BC%8F%E6%95%99%E6%9D%90%E8%B2%BB%EF%BC%9A7%2C000%E5%86%86%EF%BC%8F%E6%B6%88%E8%B2%BB%E7%A8%8E%EF%BC%9A3%2C900%E5%86%86%EF%BC%8F%E8%AB%8B%E6%B1%82%E9%A1%8D%EF%BC%9A42%2C900%E5%86%86" TargetMode="External" Id="rId84" /><Relationship Type="http://schemas.openxmlformats.org/officeDocument/2006/relationships/hyperlink" Target="https://mail.google.com/mail/?view=cm&amp;fs=1&amp;to=seito085%40example.com&amp;su=%E5%B1%B1%E7%94%B0%E8%8A%B1%E9%9F%B3%E6%A7%98%202026%E5%B9%B48%E6%9C%88%E5%88%86%E8%AB%8B%E6%B1%82%E3%81%AE%E3%81%8A%E7%9F%A5%E3%82%89%E3%81%9B&amp;body=%E6%95%99%E5%AE%A4%EF%BC%9A%E6%9D%B1%E6%A0%A1%EF%BC%8F%E3%82%B3%E3%83%BC%E3%82%B9%EF%BC%9A%E6%98%A0%E5%83%8F%E6%8E%88%E6%A5%AD%EF%BC%8F%E3%82%B3%E3%83%9E%E6%95%B0%EF%BC%9A20%E3%82%B3%E3%83%9E%EF%BC%8F%E6%8E%88%E6%A5%AD%E6%96%99%EF%BC%9A42%2C000%E5%86%86%EF%BC%8F%E6%95%99%E6%9D%90%E8%B2%BB%EF%BC%9A3%2C000%E5%86%86%EF%BC%8F%E6%B6%88%E8%B2%BB%E7%A8%8E%EF%BC%9A4%2C500%E5%86%86%EF%BC%8F%E8%AB%8B%E6%B1%82%E9%A1%8D%EF%BC%9A49%2C500%E5%86%86" TargetMode="External" Id="rId85" /><Relationship Type="http://schemas.openxmlformats.org/officeDocument/2006/relationships/hyperlink" Target="https://mail.google.com/mail/?view=cm&amp;fs=1&amp;to=seito086%40example.com&amp;su=%E5%B0%8F%E5%B7%9D%E9%A7%BF%E6%A7%98%202026%E5%B9%B48%E6%9C%88%E5%88%86%E8%AB%8B%E6%B1%82%E3%81%AE%E3%81%8A%E7%9F%A5%E3%82%89%E3%81%9B&amp;body=%E6%95%99%E5%AE%A4%EF%BC%9A%E6%9D%B1%E6%A0%A1%EF%BC%8F%E3%82%B3%E3%83%BC%E3%82%B9%EF%BC%9A%E6%98%A0%E5%83%8F%E6%8E%88%E6%A5%AD%EF%BC%8F%E3%82%B3%E3%83%9E%E6%95%B0%EF%BC%9A16%E3%82%B3%E3%83%9E%EF%BC%8F%E6%8E%88%E6%A5%AD%E6%96%99%EF%BC%9A33%2C600%E5%86%86%EF%BC%8F%E6%95%99%E6%9D%90%E8%B2%BB%EF%BC%9A3%2C000%E5%86%86%EF%BC%8F%E6%B6%88%E8%B2%BB%E7%A8%8E%EF%BC%9A3%2C660%E5%86%86%EF%BC%8F%E8%AB%8B%E6%B1%82%E9%A1%8D%EF%BC%9A40%2C260%E5%86%86" TargetMode="External" Id="rId86" /><Relationship Type="http://schemas.openxmlformats.org/officeDocument/2006/relationships/hyperlink" Target="https://mail.google.com/mail/?view=cm&amp;fs=1&amp;to=seito087%40example.com&amp;su=%E4%B8%AD%E9%87%8E%E5%81%A5%E5%A4%AA%E6%A7%98%202026%E5%B9%B48%E6%9C%88%E5%88%86%E8%AB%8B%E6%B1%82%E3%81%AE%E3%81%8A%E7%9F%A5%E3%82%89%E3%81%9B&amp;body=%E6%95%99%E5%AE%A4%EF%BC%9A%E6%9D%B1%E6%A0%A1%EF%BC%8F%E3%82%B3%E3%83%BC%E3%82%B9%EF%BC%9A%E5%80%8B%E5%88%A5%E6%8C%87%E5%B0%8ES%EF%BC%8F%E3%82%B3%E3%83%9E%E6%95%B0%EF%BC%9A4%E3%82%B3%E3%83%9E%EF%BC%8F%E6%8E%88%E6%A5%AD%E6%96%99%EF%BC%9A16%2C000%E5%86%86%EF%BC%8F%E6%95%99%E6%9D%90%E8%B2%BB%EF%BC%9A7%2C000%E5%86%86%EF%BC%8F%E6%B6%88%E8%B2%BB%E7%A8%8E%EF%BC%9A2%2C300%E5%86%86%EF%BC%8F%E8%AB%8B%E6%B1%82%E9%A1%8D%EF%BC%9A25%2C300%E5%86%86" TargetMode="External" Id="rId87" /><Relationship Type="http://schemas.openxmlformats.org/officeDocument/2006/relationships/hyperlink" Target="https://mail.google.com/mail/?view=cm&amp;fs=1&amp;to=seito088%40example.com&amp;su=%E7%94%B0%E4%B8%AD%E7%B5%90%E7%BF%94%E6%A7%98%202026%E5%B9%B48%E6%9C%88%E5%88%86%E8%AB%8B%E6%B1%82%E3%81%AE%E3%81%8A%E7%9F%A5%E3%82%89%E3%81%9B&amp;body=%E6%95%99%E5%AE%A4%EF%BC%9A%E6%9D%B1%E6%A0%A1%EF%BC%8F%E3%82%B3%E3%83%BC%E3%82%B9%EF%BC%9A%E5%80%8B%E5%88%A5%E6%8C%87%E5%B0%8E%EF%BC%8F%E3%82%B3%E3%83%9E%E6%95%B0%EF%BC%9A16%E3%82%B3%E3%83%9E%EF%BC%8F%E6%8E%88%E6%A5%AD%E6%96%99%EF%BC%9A56%2C000%E5%86%86%EF%BC%8F%E6%95%99%E6%9D%90%E8%B2%BB%EF%BC%9A6%2C000%E5%86%86%EF%BC%8F%E6%B6%88%E8%B2%BB%E7%A8%8E%EF%BC%9A6%2C200%E5%86%86%EF%BC%8F%E8%AB%8B%E6%B1%82%E9%A1%8D%EF%BC%9A68%2C200%E5%86%86" TargetMode="External" Id="rId88" /><Relationship Type="http://schemas.openxmlformats.org/officeDocument/2006/relationships/hyperlink" Target="https://mail.google.com/mail/?view=cm&amp;fs=1&amp;to=seito089%40example.com&amp;su=%E4%BC%8A%E8%97%A4%E7%BF%BC%E6%A7%98%202026%E5%B9%B48%E6%9C%88%E5%88%86%E8%AB%8B%E6%B1%82%E3%81%AE%E3%81%8A%E7%9F%A5%E3%82%89%E3%81%9B&amp;body=%E6%95%99%E5%AE%A4%EF%BC%9A%E6%9D%B1%E6%A0%A1%EF%BC%8F%E3%82%B3%E3%83%BC%E3%82%B9%EF%BC%9A%E9%9B%86%E5%9B%A3%E6%8E%88%E6%A5%AD%EF%BC%8F%E3%82%B3%E3%83%9E%E6%95%B0%EF%BC%9A20%E3%82%B3%E3%83%9E%EF%BC%8F%E6%8E%88%E6%A5%AD%E6%96%99%EF%BC%9A50%2C000%E5%86%86%EF%BC%8F%E6%95%99%E6%9D%90%E8%B2%BB%EF%BC%9A4%2C500%E5%86%86%EF%BC%8F%E6%B6%88%E8%B2%BB%E7%A8%8E%EF%BC%9A5%2C450%E5%86%86%EF%BC%8F%E8%AB%8B%E6%B1%82%E9%A1%8D%EF%BC%9A59%2C950%E5%86%86" TargetMode="External" Id="rId89" /><Relationship Type="http://schemas.openxmlformats.org/officeDocument/2006/relationships/hyperlink" Target="https://mail.google.com/mail/?view=cm&amp;fs=1&amp;to=seito090%40example.com&amp;su=%E5%BE%8C%E8%97%A4%E9%A2%AF%E5%A4%AA%E6%A7%98%202026%E5%B9%B48%E6%9C%88%E5%88%86%E8%AB%8B%E6%B1%82%E3%81%AE%E3%81%8A%E7%9F%A5%E3%82%89%E3%81%9B&amp;body=%E6%95%99%E5%AE%A4%EF%BC%9A%E6%9D%B1%E6%A0%A1%EF%BC%8F%E3%82%B3%E3%83%BC%E3%82%B9%EF%BC%9A%E6%98%A0%E5%83%8F%E6%8E%88%E6%A5%AD%EF%BC%8F%E3%82%B3%E3%83%9E%E6%95%B0%EF%BC%9A20%E3%82%B3%E3%83%9E%EF%BC%8F%E6%8E%88%E6%A5%AD%E6%96%99%EF%BC%9A42%2C000%E5%86%86%EF%BC%8F%E6%95%99%E6%9D%90%E8%B2%BB%EF%BC%9A3%2C000%E5%86%86%EF%BC%8F%E6%B6%88%E8%B2%BB%E7%A8%8E%EF%BC%9A4%2C500%E5%86%86%EF%BC%8F%E8%AB%8B%E6%B1%82%E9%A1%8D%EF%BC%9A49%2C500%E5%86%86" TargetMode="External" Id="rId90" /><Relationship Type="http://schemas.openxmlformats.org/officeDocument/2006/relationships/hyperlink" Target="https://mail.google.com/mail/?view=cm&amp;fs=1&amp;to=seito091%40example.com&amp;su=%E4%BA%95%E4%B8%8A%E5%A4%A7%E5%92%8C%E6%A7%98%202026%E5%B9%B48%E6%9C%88%E5%88%86%E8%AB%8B%E6%B1%82%E3%81%AE%E3%81%8A%E7%9F%A5%E3%82%89%E3%81%9B&amp;body=%E6%95%99%E5%AE%A4%EF%BC%9A%E6%9D%B1%E6%A0%A1%EF%BC%8F%E3%82%B3%E3%83%BC%E3%82%B9%EF%BC%9A%E9%9B%86%E5%9B%A3%E6%8E%88%E6%A5%AD%EF%BC%8F%E3%82%B3%E3%83%9E%E6%95%B0%EF%BC%9A16%E3%82%B3%E3%83%9E%EF%BC%8F%E6%8E%88%E6%A5%AD%E6%96%99%EF%BC%9A40%2C000%E5%86%86%EF%BC%8F%E6%95%99%E6%9D%90%E8%B2%BB%EF%BC%9A4%2C500%E5%86%86%EF%BC%8F%E6%B6%88%E8%B2%BB%E7%A8%8E%EF%BC%9A4%2C450%E5%86%86%EF%BC%8F%E8%AB%8B%E6%B1%82%E9%A1%8D%EF%BC%9A48%2C950%E5%86%86" TargetMode="External" Id="rId91" /><Relationship Type="http://schemas.openxmlformats.org/officeDocument/2006/relationships/hyperlink" Target="https://mail.google.com/mail/?view=cm&amp;fs=1&amp;to=seito092%40example.com&amp;su=%E4%BA%95%E4%B8%8A%E8%A9%A9%E7%B9%94%E6%A7%98%202026%E5%B9%B48%E6%9C%88%E5%88%86%E8%AB%8B%E6%B1%82%E3%81%AE%E3%81%8A%E7%9F%A5%E3%82%89%E3%81%9B&amp;body=%E6%95%99%E5%AE%A4%EF%BC%9A%E6%9D%B1%E6%A0%A1%EF%BC%8F%E3%82%B3%E3%83%BC%E3%82%B9%EF%BC%9A%E9%9B%86%E5%9B%A3%E6%8E%88%E6%A5%AD%EF%BC%8F%E3%82%B3%E3%83%9E%E6%95%B0%EF%BC%9A12%E3%82%B3%E3%83%9E%EF%BC%8F%E6%8E%88%E6%A5%AD%E6%96%99%EF%BC%9A30%2C000%E5%86%86%EF%BC%8F%E6%95%99%E6%9D%90%E8%B2%BB%EF%BC%9A4%2C500%E5%86%86%EF%BC%8F%E6%B6%88%E8%B2%BB%E7%A8%8E%EF%BC%9A3%2C450%E5%86%86%EF%BC%8F%E8%AB%8B%E6%B1%82%E9%A1%8D%EF%BC%9A37%2C950%E5%86%86" TargetMode="External" Id="rId92" /><Relationship Type="http://schemas.openxmlformats.org/officeDocument/2006/relationships/hyperlink" Target="https://mail.google.com/mail/?view=cm&amp;fs=1&amp;to=seito093%40example.com&amp;su=%E4%B8%AD%E5%B3%B6%E7%90%B4%E9%9F%B3%E6%A7%98%202026%E5%B9%B48%E6%9C%88%E5%88%86%E8%AB%8B%E6%B1%82%E3%81%AE%E3%81%8A%E7%9F%A5%E3%82%89%E3%81%9B&amp;body=%E6%95%99%E5%AE%A4%EF%BC%9A%E6%9D%B1%E6%A0%A1%EF%BC%8F%E3%82%B3%E3%83%BC%E3%82%B9%EF%BC%9A%E9%9B%86%E5%9B%A3%E6%8E%88%E6%A5%AD%EF%BC%8F%E3%82%B3%E3%83%9E%E6%95%B0%EF%BC%9A12%E3%82%B3%E3%83%9E%EF%BC%8F%E6%8E%88%E6%A5%AD%E6%96%99%EF%BC%9A30%2C000%E5%86%86%EF%BC%8F%E6%95%99%E6%9D%90%E8%B2%BB%EF%BC%9A4%2C500%E5%86%86%EF%BC%8F%E6%B6%88%E8%B2%BB%E7%A8%8E%EF%BC%9A3%2C450%E5%86%86%EF%BC%8F%E8%AB%8B%E6%B1%82%E9%A1%8D%EF%BC%9A37%2C950%E5%86%86" TargetMode="External" Id="rId93" /><Relationship Type="http://schemas.openxmlformats.org/officeDocument/2006/relationships/hyperlink" Target="https://mail.google.com/mail/?view=cm&amp;fs=1&amp;to=seito094%40example.com&amp;su=%E5%B1%B1%E6%9C%AC%E6%8B%93%E4%B9%9F%E6%A7%98%202026%E5%B9%B48%E6%9C%88%E5%88%86%E8%AB%8B%E6%B1%82%E3%81%AE%E3%81%8A%E7%9F%A5%E3%82%89%E3%81%9B&amp;body=%E6%95%99%E5%AE%A4%EF%BC%9A%E6%9D%B1%E6%A0%A1%EF%BC%8F%E3%82%B3%E3%83%BC%E3%82%B9%EF%BC%9A%E5%80%8B%E5%88%A5%E6%8C%87%E5%B0%8E%EF%BC%8F%E3%82%B3%E3%83%9E%E6%95%B0%EF%BC%9A4%E3%82%B3%E3%83%9E%EF%BC%8F%E6%8E%88%E6%A5%AD%E6%96%99%EF%BC%9A14%2C000%E5%86%86%EF%BC%8F%E6%95%99%E6%9D%90%E8%B2%BB%EF%BC%9A6%2C000%E5%86%86%EF%BC%8F%E6%B6%88%E8%B2%BB%E7%A8%8E%EF%BC%9A2%2C000%E5%86%86%EF%BC%8F%E8%AB%8B%E6%B1%82%E9%A1%8D%EF%BC%9A22%2C000%E5%86%86" TargetMode="External" Id="rId94" /><Relationship Type="http://schemas.openxmlformats.org/officeDocument/2006/relationships/hyperlink" Target="https://mail.google.com/mail/?view=cm&amp;fs=1&amp;to=seito095%40example.com&amp;su=%E6%B1%A0%E7%94%B0%E9%A2%AF%E6%A7%98%202026%E5%B9%B48%E6%9C%88%E5%88%86%E8%AB%8B%E6%B1%82%E3%81%AE%E3%81%8A%E7%9F%A5%E3%82%89%E3%81%9B&amp;body=%E6%95%99%E5%AE%A4%EF%BC%9A%E6%9D%B1%E6%A0%A1%EF%BC%8F%E3%82%B3%E3%83%BC%E3%82%B9%EF%BC%9A%E9%9B%86%E5%9B%A3%E6%8E%88%E6%A5%AD%EF%BC%8F%E3%82%B3%E3%83%9E%E6%95%B0%EF%BC%9A4%E3%82%B3%E3%83%9E%EF%BC%8F%E6%8E%88%E6%A5%AD%E6%96%99%EF%BC%9A10%2C000%E5%86%86%EF%BC%8F%E6%95%99%E6%9D%90%E8%B2%BB%EF%BC%9A4%2C500%E5%86%86%EF%BC%8F%E6%B6%88%E8%B2%BB%E7%A8%8E%EF%BC%9A1%2C450%E5%86%86%EF%BC%8F%E8%AB%8B%E6%B1%82%E9%A1%8D%EF%BC%9A15%2C950%E5%86%86" TargetMode="External" Id="rId95" /><Relationship Type="http://schemas.openxmlformats.org/officeDocument/2006/relationships/hyperlink" Target="https://mail.google.com/mail/?view=cm&amp;fs=1&amp;to=seito096%40example.com&amp;su=%E6%96%8E%E8%97%A4%E5%BD%A9%E8%8A%B1%E6%A7%98%202026%E5%B9%B48%E6%9C%88%E5%88%86%E8%AB%8B%E6%B1%82%E3%81%AE%E3%81%8A%E7%9F%A5%E3%82%89%E3%81%9B&amp;body=%E6%95%99%E5%AE%A4%EF%BC%9A%E6%9D%B1%E6%A0%A1%EF%BC%8F%E3%82%B3%E3%83%BC%E3%82%B9%EF%BC%9A%E5%80%8B%E5%88%A5%E6%8C%87%E5%B0%8E%EF%BC%8F%E3%82%B3%E3%83%9E%E6%95%B0%EF%BC%9A8%E3%82%B3%E3%83%9E%EF%BC%8F%E6%8E%88%E6%A5%AD%E6%96%99%EF%BC%9A28%2C000%E5%86%86%EF%BC%8F%E6%95%99%E6%9D%90%E8%B2%BB%EF%BC%9A6%2C000%E5%86%86%EF%BC%8F%E6%B6%88%E8%B2%BB%E7%A8%8E%EF%BC%9A3%2C400%E5%86%86%EF%BC%8F%E8%AB%8B%E6%B1%82%E9%A1%8D%EF%BC%9A37%2C400%E5%86%86" TargetMode="External" Id="rId96" /><Relationship Type="http://schemas.openxmlformats.org/officeDocument/2006/relationships/hyperlink" Target="https://mail.google.com/mail/?view=cm&amp;fs=1&amp;to=seito097%40example.com&amp;su=%E5%B1%B1%E6%9C%AC%E6%84%9B%E6%A7%98%202026%E5%B9%B48%E6%9C%88%E5%88%86%E8%AB%8B%E6%B1%82%E3%81%AE%E3%81%8A%E7%9F%A5%E3%82%89%E3%81%9B&amp;body=%E6%95%99%E5%AE%A4%EF%BC%9A%E6%9D%B1%E6%A0%A1%EF%BC%8F%E3%82%B3%E3%83%BC%E3%82%B9%EF%BC%9A%E6%98%A0%E5%83%8F%E6%8E%88%E6%A5%AD%EF%BC%8F%E3%82%B3%E3%83%9E%E6%95%B0%EF%BC%9A12%E3%82%B3%E3%83%9E%EF%BC%8F%E6%8E%88%E6%A5%AD%E6%96%99%EF%BC%9A25%2C200%E5%86%86%EF%BC%8F%E6%95%99%E6%9D%90%E8%B2%BB%EF%BC%9A3%2C000%E5%86%86%EF%BC%8F%E6%B6%88%E8%B2%BB%E7%A8%8E%EF%BC%9A2%2C820%E5%86%86%EF%BC%8F%E8%AB%8B%E6%B1%82%E9%A1%8D%EF%BC%9A31%2C020%E5%86%86" TargetMode="External" Id="rId97" /><Relationship Type="http://schemas.openxmlformats.org/officeDocument/2006/relationships/hyperlink" Target="https://mail.google.com/mail/?view=cm&amp;fs=1&amp;to=seito098%40example.com&amp;su=%E5%B0%8F%E9%87%8E%E7%BE%8E%E5%92%B2%E6%A7%98%202026%E5%B9%B48%E6%9C%88%E5%88%86%E8%AB%8B%E6%B1%82%E3%81%AE%E3%81%8A%E7%9F%A5%E3%82%89%E3%81%9B&amp;body=%E6%95%99%E5%AE%A4%EF%BC%9A%E6%9D%B1%E6%A0%A1%EF%BC%8F%E3%82%B3%E3%83%BC%E3%82%B9%EF%BC%9A%E9%9B%86%E5%9B%A3%E6%8E%88%E6%A5%AD%EF%BC%8F%E3%82%B3%E3%83%9E%E6%95%B0%EF%BC%9A4%E3%82%B3%E3%83%9E%EF%BC%8F%E6%8E%88%E6%A5%AD%E6%96%99%EF%BC%9A10%2C000%E5%86%86%EF%BC%8F%E6%95%99%E6%9D%90%E8%B2%BB%EF%BC%9A4%2C500%E5%86%86%EF%BC%8F%E6%B6%88%E8%B2%BB%E7%A8%8E%EF%BC%9A1%2C450%E5%86%86%EF%BC%8F%E8%AB%8B%E6%B1%82%E9%A1%8D%EF%BC%9A15%2C950%E5%86%86" TargetMode="External" Id="rId98" /><Relationship Type="http://schemas.openxmlformats.org/officeDocument/2006/relationships/hyperlink" Target="https://mail.google.com/mail/?view=cm&amp;fs=1&amp;to=seito099%40example.com&amp;su=%E7%9F%B3%E5%B7%9D%E7%BE%8E%E5%92%B2%E6%A7%98%202026%E5%B9%B48%E6%9C%88%E5%88%86%E8%AB%8B%E6%B1%82%E3%81%AE%E3%81%8A%E7%9F%A5%E3%82%89%E3%81%9B&amp;body=%E6%95%99%E5%AE%A4%EF%BC%9A%E6%9D%B1%E6%A0%A1%EF%BC%8F%E3%82%B3%E3%83%BC%E3%82%B9%EF%BC%9A%E9%9B%86%E5%9B%A3%E6%8E%88%E6%A5%AD%EF%BC%8F%E3%82%B3%E3%83%9E%E6%95%B0%EF%BC%9A8%E3%82%B3%E3%83%9E%EF%BC%8F%E6%8E%88%E6%A5%AD%E6%96%99%EF%BC%9A20%2C000%E5%86%86%EF%BC%8F%E6%95%99%E6%9D%90%E8%B2%BB%EF%BC%9A4%2C500%E5%86%86%EF%BC%8F%E6%B6%88%E8%B2%BB%E7%A8%8E%EF%BC%9A2%2C450%E5%86%86%EF%BC%8F%E8%AB%8B%E6%B1%82%E9%A1%8D%EF%BC%9A26%2C950%E5%86%86" TargetMode="External" Id="rId99" /><Relationship Type="http://schemas.openxmlformats.org/officeDocument/2006/relationships/hyperlink" Target="https://mail.google.com/mail/?view=cm&amp;fs=1&amp;to=seito100%40example.com&amp;su=%E9%98%BF%E9%83%A8%E6%8B%93%E4%B9%9F%E6%A7%98%202026%E5%B9%B48%E6%9C%88%E5%88%86%E8%AB%8B%E6%B1%82%E3%81%AE%E3%81%8A%E7%9F%A5%E3%82%89%E3%81%9B&amp;body=%E6%95%99%E5%AE%A4%EF%BC%9A%E6%9D%B1%E6%A0%A1%EF%BC%8F%E3%82%B3%E3%83%BC%E3%82%B9%EF%BC%9A%E5%80%8B%E5%88%A5%E6%8C%87%E5%B0%8E%EF%BC%8F%E3%82%B3%E3%83%9E%E6%95%B0%EF%BC%9A12%E3%82%B3%E3%83%9E%EF%BC%8F%E6%8E%88%E6%A5%AD%E6%96%99%EF%BC%9A42%2C000%E5%86%86%EF%BC%8F%E6%95%99%E6%9D%90%E8%B2%BB%EF%BC%9A6%2C000%E5%86%86%EF%BC%8F%E6%B6%88%E8%B2%BB%E7%A8%8E%EF%BC%9A4%2C800%E5%86%86%EF%BC%8F%E8%AB%8B%E6%B1%82%E9%A1%8D%EF%BC%9A52%2C800%E5%86%86" TargetMode="External" Id="rId100" /><Relationship Type="http://schemas.openxmlformats.org/officeDocument/2006/relationships/hyperlink" Target="https://mail.google.com/mail/?view=cm&amp;fs=1&amp;to=seito101%40example.com&amp;su=%E8%A5%BF%E6%9D%91%E5%BD%A9%E8%8A%B1%E6%A7%98%202026%E5%B9%B48%E6%9C%88%E5%88%86%E8%AB%8B%E6%B1%82%E3%81%AE%E3%81%8A%E7%9F%A5%E3%82%89%E3%81%9B&amp;body=%E6%95%99%E5%AE%A4%EF%BC%9A%E6%9D%B1%E6%A0%A1%EF%BC%8F%E3%82%B3%E3%83%BC%E3%82%B9%EF%BC%9A%E5%80%8B%E5%88%A5%E6%8C%87%E5%B0%8E%EF%BC%8F%E3%82%B3%E3%83%9E%E6%95%B0%EF%BC%9A12%E3%82%B3%E3%83%9E%EF%BC%8F%E6%8E%88%E6%A5%AD%E6%96%99%EF%BC%9A42%2C000%E5%86%86%EF%BC%8F%E6%95%99%E6%9D%90%E8%B2%BB%EF%BC%9A6%2C000%E5%86%86%EF%BC%8F%E6%B6%88%E8%B2%BB%E7%A8%8E%EF%BC%9A4%2C800%E5%86%86%EF%BC%8F%E8%AB%8B%E6%B1%82%E9%A1%8D%EF%BC%9A52%2C800%E5%86%86" TargetMode="External" Id="rId101" /><Relationship Type="http://schemas.openxmlformats.org/officeDocument/2006/relationships/hyperlink" Target="https://mail.google.com/mail/?view=cm&amp;fs=1&amp;to=seito102%40example.com&amp;su=%E6%A3%AE%E5%81%A5%E5%A4%AA%E6%A7%98%202026%E5%B9%B48%E6%9C%88%E5%88%86%E8%AB%8B%E6%B1%82%E3%81%AE%E3%81%8A%E7%9F%A5%E3%82%89%E3%81%9B&amp;body=%E6%95%99%E5%AE%A4%EF%BC%9A%E6%9D%B1%E6%A0%A1%EF%BC%8F%E3%82%B3%E3%83%BC%E3%82%B9%EF%BC%9A%E5%80%8B%E5%88%A5%E6%8C%87%E5%B0%8ES%EF%BC%8F%E3%82%B3%E3%83%9E%E6%95%B0%EF%BC%9A20%E3%82%B3%E3%83%9E%EF%BC%8F%E6%8E%88%E6%A5%AD%E6%96%99%EF%BC%9A80%2C000%E5%86%86%EF%BC%8F%E6%95%99%E6%9D%90%E8%B2%BB%EF%BC%9A7%2C000%E5%86%86%EF%BC%8F%E6%B6%88%E8%B2%BB%E7%A8%8E%EF%BC%9A8%2C700%E5%86%86%EF%BC%8F%E8%AB%8B%E6%B1%82%E9%A1%8D%EF%BC%9A95%2C700%E5%86%86" TargetMode="External" Id="rId102" /><Relationship Type="http://schemas.openxmlformats.org/officeDocument/2006/relationships/hyperlink" Target="https://mail.google.com/mail/?view=cm&amp;fs=1&amp;to=seito103%40example.com&amp;su=%E4%BC%8A%E8%97%A4%E6%82%A0%E7%9C%9F%E6%A7%98%202026%E5%B9%B48%E6%9C%88%E5%88%86%E8%AB%8B%E6%B1%82%E3%81%AE%E3%81%8A%E7%9F%A5%E3%82%89%E3%81%9B&amp;body=%E6%95%99%E5%AE%A4%EF%BC%9A%E6%9D%B1%E6%A0%A1%EF%BC%8F%E3%82%B3%E3%83%BC%E3%82%B9%EF%BC%9A%E5%80%8B%E5%88%A5%E6%8C%87%E5%B0%8E%EF%BC%8F%E3%82%B3%E3%83%9E%E6%95%B0%EF%BC%9A16%E3%82%B3%E3%83%9E%EF%BC%8F%E6%8E%88%E6%A5%AD%E6%96%99%EF%BC%9A56%2C000%E5%86%86%EF%BC%8F%E6%95%99%E6%9D%90%E8%B2%BB%EF%BC%9A6%2C000%E5%86%86%EF%BC%8F%E6%B6%88%E8%B2%BB%E7%A8%8E%EF%BC%9A6%2C200%E5%86%86%EF%BC%8F%E8%AB%8B%E6%B1%82%E9%A1%8D%EF%BC%9A68%2C200%E5%86%86" TargetMode="External" Id="rId103" /><Relationship Type="http://schemas.openxmlformats.org/officeDocument/2006/relationships/hyperlink" Target="https://mail.google.com/mail/?view=cm&amp;fs=1&amp;to=seito104%40example.com&amp;su=%E6%9D%BE%E6%9C%AC%E5%A4%A7%E8%BC%9D%E6%A7%98%202026%E5%B9%B48%E6%9C%88%E5%88%86%E8%AB%8B%E6%B1%82%E3%81%AE%E3%81%8A%E7%9F%A5%E3%82%89%E3%81%9B&amp;body=%E6%95%99%E5%AE%A4%EF%BC%9A%E6%9D%B1%E6%A0%A1%EF%BC%8F%E3%82%B3%E3%83%BC%E3%82%B9%EF%BC%9A%E5%80%8B%E5%88%A5%E6%8C%87%E5%B0%8ES%EF%BC%8F%E3%82%B3%E3%83%9E%E6%95%B0%EF%BC%9A20%E3%82%B3%E3%83%9E%EF%BC%8F%E6%8E%88%E6%A5%AD%E6%96%99%EF%BC%9A80%2C000%E5%86%86%EF%BC%8F%E6%95%99%E6%9D%90%E8%B2%BB%EF%BC%9A7%2C000%E5%86%86%EF%BC%8F%E6%B6%88%E8%B2%BB%E7%A8%8E%EF%BC%9A8%2C700%E5%86%86%EF%BC%8F%E8%AB%8B%E6%B1%82%E9%A1%8D%EF%BC%9A95%2C700%E5%86%86" TargetMode="External" Id="rId104" /><Relationship Type="http://schemas.openxmlformats.org/officeDocument/2006/relationships/hyperlink" Target="https://mail.google.com/mail/?view=cm&amp;fs=1&amp;to=seito105%40example.com&amp;su=%E5%A4%AA%E7%94%B0%E6%8B%93%E4%B9%9F%E6%A7%98%202026%E5%B9%B48%E6%9C%88%E5%88%86%E8%AB%8B%E6%B1%82%E3%81%AE%E3%81%8A%E7%9F%A5%E3%82%89%E3%81%9B&amp;body=%E6%95%99%E5%AE%A4%EF%BC%9A%E6%9D%B1%E6%A0%A1%EF%BC%8F%E3%82%B3%E3%83%BC%E3%82%B9%EF%BC%9A%E6%98%A0%E5%83%8F%E6%8E%88%E6%A5%AD%EF%BC%8F%E3%82%B3%E3%83%9E%E6%95%B0%EF%BC%9A16%E3%82%B3%E3%83%9E%EF%BC%8F%E6%8E%88%E6%A5%AD%E6%96%99%EF%BC%9A33%2C600%E5%86%86%EF%BC%8F%E6%95%99%E6%9D%90%E8%B2%BB%EF%BC%9A3%2C000%E5%86%86%EF%BC%8F%E6%B6%88%E8%B2%BB%E7%A8%8E%EF%BC%9A3%2C660%E5%86%86%EF%BC%8F%E8%AB%8B%E6%B1%82%E9%A1%8D%EF%BC%9A40%2C260%E5%86%86" TargetMode="External" Id="rId105" /><Relationship Type="http://schemas.openxmlformats.org/officeDocument/2006/relationships/hyperlink" Target="https://mail.google.com/mail/?view=cm&amp;fs=1&amp;to=seito106%40example.com&amp;su=%E4%B8%AD%E5%B3%B6%E6%82%A0%E7%9C%9F%E6%A7%98%202026%E5%B9%B48%E6%9C%88%E5%88%86%E8%AB%8B%E6%B1%82%E3%81%AE%E3%81%8A%E7%9F%A5%E3%82%89%E3%81%9B&amp;body=%E6%95%99%E5%AE%A4%EF%BC%9A%E6%9D%B1%E6%A0%A1%EF%BC%8F%E3%82%B3%E3%83%BC%E3%82%B9%EF%BC%9A%E9%9B%86%E5%9B%A3%E6%8E%88%E6%A5%AD%EF%BC%8F%E3%82%B3%E3%83%9E%E6%95%B0%EF%BC%9A8%E3%82%B3%E3%83%9E%EF%BC%8F%E6%8E%88%E6%A5%AD%E6%96%99%EF%BC%9A20%2C000%E5%86%86%EF%BC%8F%E6%95%99%E6%9D%90%E8%B2%BB%EF%BC%9A4%2C500%E5%86%86%EF%BC%8F%E6%B6%88%E8%B2%BB%E7%A8%8E%EF%BC%9A2%2C450%E5%86%86%EF%BC%8F%E8%AB%8B%E6%B1%82%E9%A1%8D%EF%BC%9A26%2C950%E5%86%86" TargetMode="External" Id="rId106" /><Relationship Type="http://schemas.openxmlformats.org/officeDocument/2006/relationships/hyperlink" Target="https://mail.google.com/mail/?view=cm&amp;fs=1&amp;to=seito107%40example.com&amp;su=%E4%B8%AD%E9%87%8E%E5%92%B2%E8%89%AF%E6%A7%98%202026%E5%B9%B48%E6%9C%88%E5%88%86%E8%AB%8B%E6%B1%82%E3%81%AE%E3%81%8A%E7%9F%A5%E3%82%89%E3%81%9B&amp;body=%E6%95%99%E5%AE%A4%EF%BC%9A%E6%9D%B1%E6%A0%A1%EF%BC%8F%E3%82%B3%E3%83%BC%E3%82%B9%EF%BC%9A%E9%9B%86%E5%9B%A3%E6%8E%88%E6%A5%AD%EF%BC%8F%E3%82%B3%E3%83%9E%E6%95%B0%EF%BC%9A16%E3%82%B3%E3%83%9E%EF%BC%8F%E6%8E%88%E6%A5%AD%E6%96%99%EF%BC%9A40%2C000%E5%86%86%EF%BC%8F%E6%95%99%E6%9D%90%E8%B2%BB%EF%BC%9A4%2C500%E5%86%86%EF%BC%8F%E6%B6%88%E8%B2%BB%E7%A8%8E%EF%BC%9A4%2C450%E5%86%86%EF%BC%8F%E8%AB%8B%E6%B1%82%E9%A1%8D%EF%BC%9A48%2C950%E5%86%86" TargetMode="External" Id="rId107" /><Relationship Type="http://schemas.openxmlformats.org/officeDocument/2006/relationships/hyperlink" Target="https://mail.google.com/mail/?view=cm&amp;fs=1&amp;to=seito108%40example.com&amp;su=%E5%90%89%E7%94%B0%E5%84%AA%E5%A5%88%E6%A7%98%202026%E5%B9%B48%E6%9C%88%E5%88%86%E8%AB%8B%E6%B1%82%E3%81%AE%E3%81%8A%E7%9F%A5%E3%82%89%E3%81%9B&amp;body=%E6%95%99%E5%AE%A4%EF%BC%9A%E6%9D%B1%E6%A0%A1%EF%BC%8F%E3%82%B3%E3%83%BC%E3%82%B9%EF%BC%9A%E5%80%8B%E5%88%A5%E6%8C%87%E5%B0%8ES%EF%BC%8F%E3%82%B3%E3%83%9E%E6%95%B0%EF%BC%9A16%E3%82%B3%E3%83%9E%EF%BC%8F%E6%8E%88%E6%A5%AD%E6%96%99%EF%BC%9A64%2C000%E5%86%86%EF%BC%8F%E6%95%99%E6%9D%90%E8%B2%BB%EF%BC%9A7%2C000%E5%86%86%EF%BC%8F%E6%B6%88%E8%B2%BB%E7%A8%8E%EF%BC%9A7%2C100%E5%86%86%EF%BC%8F%E8%AB%8B%E6%B1%82%E9%A1%8D%EF%BC%9A78%2C100%E5%86%86" TargetMode="External" Id="rId108" /><Relationship Type="http://schemas.openxmlformats.org/officeDocument/2006/relationships/hyperlink" Target="https://mail.google.com/mail/?view=cm&amp;fs=1&amp;to=seito109%40example.com&amp;su=%E6%9E%97%E5%A4%A7%E7%BF%94%E6%A7%98%202026%E5%B9%B48%E6%9C%88%E5%88%86%E8%AB%8B%E6%B1%82%E3%81%AE%E3%81%8A%E7%9F%A5%E3%82%89%E3%81%9B&amp;body=%E6%95%99%E5%AE%A4%EF%BC%9A%E6%9D%B1%E6%A0%A1%EF%BC%8F%E3%82%B3%E3%83%BC%E3%82%B9%EF%BC%9A%E5%80%8B%E5%88%A5%E6%8C%87%E5%B0%8ES%EF%BC%8F%E3%82%B3%E3%83%9E%E6%95%B0%EF%BC%9A20%E3%82%B3%E3%83%9E%EF%BC%8F%E6%8E%88%E6%A5%AD%E6%96%99%EF%BC%9A80%2C000%E5%86%86%EF%BC%8F%E6%95%99%E6%9D%90%E8%B2%BB%EF%BC%9A7%2C000%E5%86%86%EF%BC%8F%E6%B6%88%E8%B2%BB%E7%A8%8E%EF%BC%9A8%2C700%E5%86%86%EF%BC%8F%E8%AB%8B%E6%B1%82%E9%A1%8D%EF%BC%9A95%2C700%E5%86%86" TargetMode="External" Id="rId109" /><Relationship Type="http://schemas.openxmlformats.org/officeDocument/2006/relationships/hyperlink" Target="https://mail.google.com/mail/?view=cm&amp;fs=1&amp;to=seito110%40example.com&amp;su=%E9%9D%92%E6%9C%A8%E9%99%BD%E8%8F%9C%E6%A7%98%202026%E5%B9%B48%E6%9C%88%E5%88%86%E8%AB%8B%E6%B1%82%E3%81%AE%E3%81%8A%E7%9F%A5%E3%82%89%E3%81%9B&amp;body=%E6%95%99%E5%AE%A4%EF%BC%9A%E6%9D%B1%E6%A0%A1%EF%BC%8F%E3%82%B3%E3%83%BC%E3%82%B9%EF%BC%9A%E5%80%8B%E5%88%A5%E6%8C%87%E5%B0%8E%EF%BC%8F%E3%82%B3%E3%83%9E%E6%95%B0%EF%BC%9A8%E3%82%B3%E3%83%9E%EF%BC%8F%E6%8E%88%E6%A5%AD%E6%96%99%EF%BC%9A28%2C000%E5%86%86%EF%BC%8F%E6%95%99%E6%9D%90%E8%B2%BB%EF%BC%9A6%2C000%E5%86%86%EF%BC%8F%E6%B6%88%E8%B2%BB%E7%A8%8E%EF%BC%9A3%2C400%E5%86%86%EF%BC%8F%E8%AB%8B%E6%B1%82%E9%A1%8D%EF%BC%9A37%2C400%E5%86%86" TargetMode="External" Id="rId110" /><Relationship Type="http://schemas.openxmlformats.org/officeDocument/2006/relationships/hyperlink" Target="https://mail.google.com/mail/?view=cm&amp;fs=1&amp;to=seito111%40example.com&amp;su=%E6%B8%85%E6%B0%B4%E4%B8%80%E8%BC%9D%E6%A7%98%202026%E5%B9%B48%E6%9C%88%E5%88%86%E8%AB%8B%E6%B1%82%E3%81%AE%E3%81%8A%E7%9F%A5%E3%82%89%E3%81%9B&amp;body=%E6%95%99%E5%AE%A4%EF%BC%9A%E6%9D%B1%E6%A0%A1%EF%BC%8F%E3%82%B3%E3%83%BC%E3%82%B9%EF%BC%9A%E5%80%8B%E5%88%A5%E6%8C%87%E5%B0%8ES%EF%BC%8F%E3%82%B3%E3%83%9E%E6%95%B0%EF%BC%9A8%E3%82%B3%E3%83%9E%EF%BC%8F%E6%8E%88%E6%A5%AD%E6%96%99%EF%BC%9A32%2C000%E5%86%86%EF%BC%8F%E6%95%99%E6%9D%90%E8%B2%BB%EF%BC%9A7%2C000%E5%86%86%EF%BC%8F%E6%B6%88%E8%B2%BB%E7%A8%8E%EF%BC%9A3%2C900%E5%86%86%EF%BC%8F%E8%AB%8B%E6%B1%82%E9%A1%8D%EF%BC%9A42%2C900%E5%86%86" TargetMode="External" Id="rId111" /><Relationship Type="http://schemas.openxmlformats.org/officeDocument/2006/relationships/hyperlink" Target="https://mail.google.com/mail/?view=cm&amp;fs=1&amp;to=seito112%40example.com&amp;su=%E4%BA%95%E4%B8%8A%E6%9C%9D%E9%99%BD%E6%A7%98%202026%E5%B9%B48%E6%9C%88%E5%88%86%E8%AB%8B%E6%B1%82%E3%81%AE%E3%81%8A%E7%9F%A5%E3%82%89%E3%81%9B&amp;body=%E6%95%99%E5%AE%A4%EF%BC%9A%E6%9D%B1%E6%A0%A1%EF%BC%8F%E3%82%B3%E3%83%BC%E3%82%B9%EF%BC%9A%E6%98%A0%E5%83%8F%E6%8E%88%E6%A5%AD%EF%BC%8F%E3%82%B3%E3%83%9E%E6%95%B0%EF%BC%9A20%E3%82%B3%E3%83%9E%EF%BC%8F%E6%8E%88%E6%A5%AD%E6%96%99%EF%BC%9A42%2C000%E5%86%86%EF%BC%8F%E6%95%99%E6%9D%90%E8%B2%BB%EF%BC%9A3%2C000%E5%86%86%EF%BC%8F%E6%B6%88%E8%B2%BB%E7%A8%8E%EF%BC%9A4%2C500%E5%86%86%EF%BC%8F%E8%AB%8B%E6%B1%82%E9%A1%8D%EF%BC%9A49%2C500%E5%86%86" TargetMode="External" Id="rId112" /><Relationship Type="http://schemas.openxmlformats.org/officeDocument/2006/relationships/hyperlink" Target="https://mail.google.com/mail/?view=cm&amp;fs=1&amp;to=seito113%40example.com&amp;su=%E4%B8%AD%E9%87%8E%E7%BE%8E%E6%A1%9C%E6%A7%98%202026%E5%B9%B48%E6%9C%88%E5%88%86%E8%AB%8B%E6%B1%82%E3%81%AE%E3%81%8A%E7%9F%A5%E3%82%89%E3%81%9B&amp;body=%E6%95%99%E5%AE%A4%EF%BC%9A%E6%9D%B1%E6%A0%A1%EF%BC%8F%E3%82%B3%E3%83%BC%E3%82%B9%EF%BC%9A%E6%98%A0%E5%83%8F%E6%8E%88%E6%A5%AD%EF%BC%8F%E3%82%B3%E3%83%9E%E6%95%B0%EF%BC%9A16%E3%82%B3%E3%83%9E%EF%BC%8F%E6%8E%88%E6%A5%AD%E6%96%99%EF%BC%9A33%2C600%E5%86%86%EF%BC%8F%E6%95%99%E6%9D%90%E8%B2%BB%EF%BC%9A3%2C000%E5%86%86%EF%BC%8F%E6%B6%88%E8%B2%BB%E7%A8%8E%EF%BC%9A3%2C660%E5%86%86%EF%BC%8F%E8%AB%8B%E6%B1%82%E9%A1%8D%EF%BC%9A40%2C260%E5%86%86" TargetMode="External" Id="rId113" /><Relationship Type="http://schemas.openxmlformats.org/officeDocument/2006/relationships/hyperlink" Target="https://mail.google.com/mail/?view=cm&amp;fs=1&amp;to=seito114%40example.com&amp;su=%E6%9E%97%E7%BE%8E%E6%9C%88%E6%A7%98%202026%E5%B9%B48%E6%9C%88%E5%88%86%E8%AB%8B%E6%B1%82%E3%81%AE%E3%81%8A%E7%9F%A5%E3%82%89%E3%81%9B&amp;body=%E6%95%99%E5%AE%A4%EF%BC%9A%E6%9D%B1%E6%A0%A1%EF%BC%8F%E3%82%B3%E3%83%BC%E3%82%B9%EF%BC%9A%E9%9B%86%E5%9B%A3%E6%8E%88%E6%A5%AD%EF%BC%8F%E3%82%B3%E3%83%9E%E6%95%B0%EF%BC%9A20%E3%82%B3%E3%83%9E%EF%BC%8F%E6%8E%88%E6%A5%AD%E6%96%99%EF%BC%9A50%2C000%E5%86%86%EF%BC%8F%E6%95%99%E6%9D%90%E8%B2%BB%EF%BC%9A4%2C500%E5%86%86%EF%BC%8F%E6%B6%88%E8%B2%BB%E7%A8%8E%EF%BC%9A5%2C450%E5%86%86%EF%BC%8F%E8%AB%8B%E6%B1%82%E9%A1%8D%EF%BC%9A59%2C950%E5%86%86" TargetMode="External" Id="rId114" /><Relationship Type="http://schemas.openxmlformats.org/officeDocument/2006/relationships/hyperlink" Target="https://mail.google.com/mail/?view=cm&amp;fs=1&amp;to=seito115%40example.com&amp;su=%E5%8A%A0%E8%97%A4%E6%82%A0%E6%96%97%E6%A7%98%202026%E5%B9%B48%E6%9C%88%E5%88%86%E8%AB%8B%E6%B1%82%E3%81%AE%E3%81%8A%E7%9F%A5%E3%82%89%E3%81%9B&amp;body=%E6%95%99%E5%AE%A4%EF%BC%9A%E6%9D%B1%E6%A0%A1%EF%BC%8F%E3%82%B3%E3%83%BC%E3%82%B9%EF%BC%9A%E9%9B%86%E5%9B%A3%E6%8E%88%E6%A5%AD%EF%BC%8F%E3%82%B3%E3%83%9E%E6%95%B0%EF%BC%9A20%E3%82%B3%E3%83%9E%EF%BC%8F%E6%8E%88%E6%A5%AD%E6%96%99%EF%BC%9A50%2C000%E5%86%86%EF%BC%8F%E6%95%99%E6%9D%90%E8%B2%BB%EF%BC%9A4%2C500%E5%86%86%EF%BC%8F%E6%B6%88%E8%B2%BB%E7%A8%8E%EF%BC%9A5%2C450%E5%86%86%EF%BC%8F%E8%AB%8B%E6%B1%82%E9%A1%8D%EF%BC%9A59%2C950%E5%86%86" TargetMode="External" Id="rId115" /><Relationship Type="http://schemas.openxmlformats.org/officeDocument/2006/relationships/hyperlink" Target="https://mail.google.com/mail/?view=cm&amp;fs=1&amp;to=seito116%40example.com&amp;su=%E7%A6%8F%E7%94%B0%E7%B5%90%E8%A1%A3%E6%A7%98%202026%E5%B9%B48%E6%9C%88%E5%88%86%E8%AB%8B%E6%B1%82%E3%81%AE%E3%81%8A%E7%9F%A5%E3%82%89%E3%81%9B&amp;body=%E6%95%99%E5%AE%A4%EF%BC%9A%E6%9D%B1%E6%A0%A1%EF%BC%8F%E3%82%B3%E3%83%BC%E3%82%B9%EF%BC%9A%E5%80%8B%E5%88%A5%E6%8C%87%E5%B0%8ES%EF%BC%8F%E3%82%B3%E3%83%9E%E6%95%B0%EF%BC%9A8%E3%82%B3%E3%83%9E%EF%BC%8F%E6%8E%88%E6%A5%AD%E6%96%99%EF%BC%9A32%2C000%E5%86%86%EF%BC%8F%E6%95%99%E6%9D%90%E8%B2%BB%EF%BC%9A7%2C000%E5%86%86%EF%BC%8F%E6%B6%88%E8%B2%BB%E7%A8%8E%EF%BC%9A3%2C900%E5%86%86%EF%BC%8F%E8%AB%8B%E6%B1%82%E9%A1%8D%EF%BC%9A42%2C900%E5%86%86" TargetMode="External" Id="rId116" /><Relationship Type="http://schemas.openxmlformats.org/officeDocument/2006/relationships/hyperlink" Target="https://mail.google.com/mail/?view=cm&amp;fs=1&amp;to=seito117%40example.com&amp;su=%E5%B1%B1%E5%8F%A3%E9%99%BD%E5%90%91%E6%A7%98%202026%E5%B9%B48%E6%9C%88%E5%88%86%E8%AB%8B%E6%B1%82%E3%81%AE%E3%81%8A%E7%9F%A5%E3%82%89%E3%81%9B&amp;body=%E6%95%99%E5%AE%A4%EF%BC%9A%E6%9D%B1%E6%A0%A1%EF%BC%8F%E3%82%B3%E3%83%BC%E3%82%B9%EF%BC%9A%E9%9B%86%E5%9B%A3%E6%8E%88%E6%A5%AD%EF%BC%8F%E3%82%B3%E3%83%9E%E6%95%B0%EF%BC%9A4%E3%82%B3%E3%83%9E%EF%BC%8F%E6%8E%88%E6%A5%AD%E6%96%99%EF%BC%9A10%2C000%E5%86%86%EF%BC%8F%E6%95%99%E6%9D%90%E8%B2%BB%EF%BC%9A4%2C500%E5%86%86%EF%BC%8F%E6%B6%88%E8%B2%BB%E7%A8%8E%EF%BC%9A1%2C450%E5%86%86%EF%BC%8F%E8%AB%8B%E6%B1%82%E9%A1%8D%EF%BC%9A15%2C950%E5%86%86" TargetMode="External" Id="rId117" /><Relationship Type="http://schemas.openxmlformats.org/officeDocument/2006/relationships/hyperlink" Target="https://mail.google.com/mail/?view=cm&amp;fs=1&amp;to=seito118%40example.com&amp;su=%E9%AB%98%E6%A9%8B%E8%92%BC%E6%A7%98%202026%E5%B9%B48%E6%9C%88%E5%88%86%E8%AB%8B%E6%B1%82%E3%81%AE%E3%81%8A%E7%9F%A5%E3%82%89%E3%81%9B&amp;body=%E6%95%99%E5%AE%A4%EF%BC%9A%E6%9D%B1%E6%A0%A1%EF%BC%8F%E3%82%B3%E3%83%BC%E3%82%B9%EF%BC%9A%E5%80%8B%E5%88%A5%E6%8C%87%E5%B0%8E%EF%BC%8F%E3%82%B3%E3%83%9E%E6%95%B0%EF%BC%9A8%E3%82%B3%E3%83%9E%EF%BC%8F%E6%8E%88%E6%A5%AD%E6%96%99%EF%BC%9A28%2C000%E5%86%86%EF%BC%8F%E6%95%99%E6%9D%90%E8%B2%BB%EF%BC%9A6%2C000%E5%86%86%EF%BC%8F%E6%B6%88%E8%B2%BB%E7%A8%8E%EF%BC%9A3%2C400%E5%86%86%EF%BC%8F%E8%AB%8B%E6%B1%82%E9%A1%8D%EF%BC%9A37%2C400%E5%86%86" TargetMode="External" Id="rId118" /><Relationship Type="http://schemas.openxmlformats.org/officeDocument/2006/relationships/hyperlink" Target="https://mail.google.com/mail/?view=cm&amp;fs=1&amp;to=seito119%40example.com&amp;su=%E6%9E%97%E7%BF%94%E5%A4%AA%E6%A7%98%202026%E5%B9%B48%E6%9C%88%E5%88%86%E8%AB%8B%E6%B1%82%E3%81%AE%E3%81%8A%E7%9F%A5%E3%82%89%E3%81%9B&amp;body=%E6%95%99%E5%AE%A4%EF%BC%9A%E6%9D%B1%E6%A0%A1%EF%BC%8F%E3%82%B3%E3%83%BC%E3%82%B9%EF%BC%9A%E5%80%8B%E5%88%A5%E6%8C%87%E5%B0%8ES%EF%BC%8F%E3%82%B3%E3%83%9E%E6%95%B0%EF%BC%9A8%E3%82%B3%E3%83%9E%EF%BC%8F%E6%8E%88%E6%A5%AD%E6%96%99%EF%BC%9A32%2C000%E5%86%86%EF%BC%8F%E6%95%99%E6%9D%90%E8%B2%BB%EF%BC%9A7%2C000%E5%86%86%EF%BC%8F%E6%B6%88%E8%B2%BB%E7%A8%8E%EF%BC%9A3%2C900%E5%86%86%EF%BC%8F%E8%AB%8B%E6%B1%82%E9%A1%8D%EF%BC%9A42%2C900%E5%86%86" TargetMode="External" Id="rId119" /><Relationship Type="http://schemas.openxmlformats.org/officeDocument/2006/relationships/hyperlink" Target="https://mail.google.com/mail/?view=cm&amp;fs=1&amp;to=seito120%40example.com&amp;su=%E5%B2%A1%E7%94%B0%E8%A9%A9%E7%B9%94%E6%A7%98%202026%E5%B9%B48%E6%9C%88%E5%88%86%E8%AB%8B%E6%B1%82%E3%81%AE%E3%81%8A%E7%9F%A5%E3%82%89%E3%81%9B&amp;body=%E6%95%99%E5%AE%A4%EF%BC%9A%E6%9D%B1%E6%A0%A1%EF%BC%8F%E3%82%B3%E3%83%BC%E3%82%B9%EF%BC%9A%E6%98%A0%E5%83%8F%E6%8E%88%E6%A5%AD%EF%BC%8F%E3%82%B3%E3%83%9E%E6%95%B0%EF%BC%9A16%E3%82%B3%E3%83%9E%EF%BC%8F%E6%8E%88%E6%A5%AD%E6%96%99%EF%BC%9A33%2C600%E5%86%86%EF%BC%8F%E6%95%99%E6%9D%90%E8%B2%BB%EF%BC%9A3%2C000%E5%86%86%EF%BC%8F%E6%B6%88%E8%B2%BB%E7%A8%8E%EF%BC%9A3%2C660%E5%86%86%EF%BC%8F%E8%AB%8B%E6%B1%82%E9%A1%8D%EF%BC%9A40%2C260%E5%86%86" TargetMode="External" Id="rId120" /><Relationship Type="http://schemas.openxmlformats.org/officeDocument/2006/relationships/hyperlink" Target="https://mail.google.com/mail/?view=cm&amp;fs=1&amp;to=seito121%40example.com&amp;su=%E5%BE%8C%E8%97%A4%E8%92%BC%E6%A7%98%202026%E5%B9%B48%E6%9C%88%E5%88%86%E8%AB%8B%E6%B1%82%E3%81%AE%E3%81%8A%E7%9F%A5%E3%82%89%E3%81%9B&amp;body=%E6%95%99%E5%AE%A4%EF%BC%9A%E6%9D%B1%E6%A0%A1%EF%BC%8F%E3%82%B3%E3%83%BC%E3%82%B9%EF%BC%9A%E9%9B%86%E5%9B%A3%E6%8E%88%E6%A5%AD%EF%BC%8F%E3%82%B3%E3%83%9E%E6%95%B0%EF%BC%9A4%E3%82%B3%E3%83%9E%EF%BC%8F%E6%8E%88%E6%A5%AD%E6%96%99%EF%BC%9A10%2C000%E5%86%86%EF%BC%8F%E6%95%99%E6%9D%90%E8%B2%BB%EF%BC%9A4%2C500%E5%86%86%EF%BC%8F%E6%B6%88%E8%B2%BB%E7%A8%8E%EF%BC%9A1%2C450%E5%86%86%EF%BC%8F%E8%AB%8B%E6%B1%82%E9%A1%8D%EF%BC%9A15%2C950%E5%86%86" TargetMode="External" Id="rId121" /><Relationship Type="http://schemas.openxmlformats.org/officeDocument/2006/relationships/hyperlink" Target="https://mail.google.com/mail/?view=cm&amp;fs=1&amp;to=seito122%40example.com&amp;su=%E6%B8%A1%E8%BE%BA%E9%99%BD%E8%8F%9C%E4%B9%83%E6%A7%98%202026%E5%B9%B48%E6%9C%88%E5%88%86%E8%AB%8B%E6%B1%82%E3%81%AE%E3%81%8A%E7%9F%A5%E3%82%89%E3%81%9B&amp;body=%E6%95%99%E5%AE%A4%EF%BC%9A%E6%9D%B1%E6%A0%A1%EF%BC%8F%E3%82%B3%E3%83%BC%E3%82%B9%EF%BC%9A%E9%9B%86%E5%9B%A3%E6%8E%88%E6%A5%AD%EF%BC%8F%E3%82%B3%E3%83%9E%E6%95%B0%EF%BC%9A12%E3%82%B3%E3%83%9E%EF%BC%8F%E6%8E%88%E6%A5%AD%E6%96%99%EF%BC%9A30%2C000%E5%86%86%EF%BC%8F%E6%95%99%E6%9D%90%E8%B2%BB%EF%BC%9A4%2C500%E5%86%86%EF%BC%8F%E6%B6%88%E8%B2%BB%E7%A8%8E%EF%BC%9A3%2C450%E5%86%86%EF%BC%8F%E8%AB%8B%E6%B1%82%E9%A1%8D%EF%BC%9A37%2C950%E5%86%86" TargetMode="External" Id="rId122" /><Relationship Type="http://schemas.openxmlformats.org/officeDocument/2006/relationships/hyperlink" Target="https://mail.google.com/mail/?view=cm&amp;fs=1&amp;to=seito123%40example.com&amp;su=%E5%B0%8F%E5%B7%9D%E4%B8%80%E8%BC%9D%E6%A7%98%202026%E5%B9%B48%E6%9C%88%E5%88%86%E8%AB%8B%E6%B1%82%E3%81%AE%E3%81%8A%E7%9F%A5%E3%82%89%E3%81%9B&amp;body=%E6%95%99%E5%AE%A4%EF%BC%9A%E6%9D%B1%E6%A0%A1%EF%BC%8F%E3%82%B3%E3%83%BC%E3%82%B9%EF%BC%9A%E5%80%8B%E5%88%A5%E6%8C%87%E5%B0%8ES%EF%BC%8F%E3%82%B3%E3%83%9E%E6%95%B0%EF%BC%9A8%E3%82%B3%E3%83%9E%EF%BC%8F%E6%8E%88%E6%A5%AD%E6%96%99%EF%BC%9A32%2C000%E5%86%86%EF%BC%8F%E6%95%99%E6%9D%90%E8%B2%BB%EF%BC%9A7%2C000%E5%86%86%EF%BC%8F%E6%B6%88%E8%B2%BB%E7%A8%8E%EF%BC%9A3%2C900%E5%86%86%EF%BC%8F%E8%AB%8B%E6%B1%82%E9%A1%8D%EF%BC%9A42%2C900%E5%86%86" TargetMode="External" Id="rId123" /><Relationship Type="http://schemas.openxmlformats.org/officeDocument/2006/relationships/hyperlink" Target="https://mail.google.com/mail/?view=cm&amp;fs=1&amp;to=seito124%40example.com&amp;su=%E6%96%8E%E8%97%A4%E6%84%9B%E6%A7%98%202026%E5%B9%B48%E6%9C%88%E5%88%86%E8%AB%8B%E6%B1%82%E3%81%AE%E3%81%8A%E7%9F%A5%E3%82%89%E3%81%9B&amp;body=%E6%95%99%E5%AE%A4%EF%BC%9A%E6%9D%B1%E6%A0%A1%EF%BC%8F%E3%82%B3%E3%83%BC%E3%82%B9%EF%BC%9A%E5%80%8B%E5%88%A5%E6%8C%87%E5%B0%8E%EF%BC%8F%E3%82%B3%E3%83%9E%E6%95%B0%EF%BC%9A16%E3%82%B3%E3%83%9E%EF%BC%8F%E6%8E%88%E6%A5%AD%E6%96%99%EF%BC%9A56%2C000%E5%86%86%EF%BC%8F%E6%95%99%E6%9D%90%E8%B2%BB%EF%BC%9A6%2C000%E5%86%86%EF%BC%8F%E6%B6%88%E8%B2%BB%E7%A8%8E%EF%BC%9A6%2C200%E5%86%86%EF%BC%8F%E8%AB%8B%E6%B1%82%E9%A1%8D%EF%BC%9A68%2C200%E5%86%86" TargetMode="External" Id="rId124" /><Relationship Type="http://schemas.openxmlformats.org/officeDocument/2006/relationships/hyperlink" Target="https://mail.google.com/mail/?view=cm&amp;fs=1&amp;to=seito125%40example.com&amp;su=%E9%95%B7%E8%B0%B7%E5%B7%9D%E5%92%B2%E8%89%AF%E6%A7%98%202026%E5%B9%B48%E6%9C%88%E5%88%86%E8%AB%8B%E6%B1%82%E3%81%AE%E3%81%8A%E7%9F%A5%E3%82%89%E3%81%9B&amp;body=%E6%95%99%E5%AE%A4%EF%BC%9A%E6%9D%B1%E6%A0%A1%EF%BC%8F%E3%82%B3%E3%83%BC%E3%82%B9%EF%BC%9A%E5%80%8B%E5%88%A5%E6%8C%87%E5%B0%8E%EF%BC%8F%E3%82%B3%E3%83%9E%E6%95%B0%EF%BC%9A8%E3%82%B3%E3%83%9E%EF%BC%8F%E6%8E%88%E6%A5%AD%E6%96%99%EF%BC%9A28%2C000%E5%86%86%EF%BC%8F%E6%95%99%E6%9D%90%E8%B2%BB%EF%BC%9A6%2C000%E5%86%86%EF%BC%8F%E6%B6%88%E8%B2%BB%E7%A8%8E%EF%BC%9A3%2C400%E5%86%86%EF%BC%8F%E8%AB%8B%E6%B1%82%E9%A1%8D%EF%BC%9A37%2C400%E5%86%86" TargetMode="External" Id="rId125" /><Relationship Type="http://schemas.openxmlformats.org/officeDocument/2006/relationships/hyperlink" Target="https://mail.google.com/mail/?view=cm&amp;fs=1&amp;to=seito126%40example.com&amp;su=%E9%95%B7%E8%B0%B7%E5%B7%9D%E7%85%8C%E6%A7%98%202026%E5%B9%B48%E6%9C%88%E5%88%86%E8%AB%8B%E6%B1%82%E3%81%AE%E3%81%8A%E7%9F%A5%E3%82%89%E3%81%9B&amp;body=%E6%95%99%E5%AE%A4%EF%BC%9A%E6%9D%B1%E6%A0%A1%EF%BC%8F%E3%82%B3%E3%83%BC%E3%82%B9%EF%BC%9A%E5%80%8B%E5%88%A5%E6%8C%87%E5%B0%8E%EF%BC%8F%E3%82%B3%E3%83%9E%E6%95%B0%EF%BC%9A4%E3%82%B3%E3%83%9E%EF%BC%8F%E6%8E%88%E6%A5%AD%E6%96%99%EF%BC%9A14%2C000%E5%86%86%EF%BC%8F%E6%95%99%E6%9D%90%E8%B2%BB%EF%BC%9A6%2C000%E5%86%86%EF%BC%8F%E6%B6%88%E8%B2%BB%E7%A8%8E%EF%BC%9A2%2C000%E5%86%86%EF%BC%8F%E8%AB%8B%E6%B1%82%E9%A1%8D%EF%BC%9A22%2C000%E5%86%86" TargetMode="External" Id="rId126" /><Relationship Type="http://schemas.openxmlformats.org/officeDocument/2006/relationships/hyperlink" Target="https://mail.google.com/mail/?view=cm&amp;fs=1&amp;to=seito127%40example.com&amp;su=%E5%90%89%E7%94%B0%E8%90%8C%E6%A7%98%202026%E5%B9%B48%E6%9C%88%E5%88%86%E8%AB%8B%E6%B1%82%E3%81%AE%E3%81%8A%E7%9F%A5%E3%82%89%E3%81%9B&amp;body=%E6%95%99%E5%AE%A4%EF%BC%9A%E6%9D%B1%E6%A0%A1%EF%BC%8F%E3%82%B3%E3%83%BC%E3%82%B9%EF%BC%9A%E5%80%8B%E5%88%A5%E6%8C%87%E5%B0%8E%EF%BC%8F%E3%82%B3%E3%83%9E%E6%95%B0%EF%BC%9A12%E3%82%B3%E3%83%9E%EF%BC%8F%E6%8E%88%E6%A5%AD%E6%96%99%EF%BC%9A42%2C000%E5%86%86%EF%BC%8F%E6%95%99%E6%9D%90%E8%B2%BB%EF%BC%9A6%2C000%E5%86%86%EF%BC%8F%E6%B6%88%E8%B2%BB%E7%A8%8E%EF%BC%9A4%2C800%E5%86%86%EF%BC%8F%E8%AB%8B%E6%B1%82%E9%A1%8D%EF%BC%9A52%2C800%E5%86%86" TargetMode="External" Id="rId127" /><Relationship Type="http://schemas.openxmlformats.org/officeDocument/2006/relationships/hyperlink" Target="https://mail.google.com/mail/?view=cm&amp;fs=1&amp;to=seito128%40example.com&amp;su=%E5%B1%B1%E6%9C%AC%E4%B8%80%E8%BC%9D%E6%A7%98%202026%E5%B9%B48%E6%9C%88%E5%88%86%E8%AB%8B%E6%B1%82%E3%81%AE%E3%81%8A%E7%9F%A5%E3%82%89%E3%81%9B&amp;body=%E6%95%99%E5%AE%A4%EF%BC%9A%E6%9D%B1%E6%A0%A1%EF%BC%8F%E3%82%B3%E3%83%BC%E3%82%B9%EF%BC%9A%E6%98%A0%E5%83%8F%E6%8E%88%E6%A5%AD%EF%BC%8F%E3%82%B3%E3%83%9E%E6%95%B0%EF%BC%9A4%E3%82%B3%E3%83%9E%EF%BC%8F%E6%8E%88%E6%A5%AD%E6%96%99%EF%BC%9A8%2C400%E5%86%86%EF%BC%8F%E6%95%99%E6%9D%90%E8%B2%BB%EF%BC%9A3%2C000%E5%86%86%EF%BC%8F%E6%B6%88%E8%B2%BB%E7%A8%8E%EF%BC%9A1%2C140%E5%86%86%EF%BC%8F%E8%AB%8B%E6%B1%82%E9%A1%8D%EF%BC%9A12%2C540%E5%86%86" TargetMode="External" Id="rId128" /><Relationship Type="http://schemas.openxmlformats.org/officeDocument/2006/relationships/hyperlink" Target="https://mail.google.com/mail/?view=cm&amp;fs=1&amp;to=seito129%40example.com&amp;su=%E5%9D%82%E6%9C%AC%E5%87%9B%E6%A7%98%202026%E5%B9%B48%E6%9C%88%E5%88%86%E8%AB%8B%E6%B1%82%E3%81%AE%E3%81%8A%E7%9F%A5%E3%82%89%E3%81%9B&amp;body=%E6%95%99%E5%AE%A4%EF%BC%9A%E6%9D%B1%E6%A0%A1%EF%BC%8F%E3%82%B3%E3%83%BC%E3%82%B9%EF%BC%9A%E9%9B%86%E5%9B%A3%E6%8E%88%E6%A5%AD%EF%BC%8F%E3%82%B3%E3%83%9E%E6%95%B0%EF%BC%9A16%E3%82%B3%E3%83%9E%EF%BC%8F%E6%8E%88%E6%A5%AD%E6%96%99%EF%BC%9A40%2C000%E5%86%86%EF%BC%8F%E6%95%99%E6%9D%90%E8%B2%BB%EF%BC%9A4%2C500%E5%86%86%EF%BC%8F%E6%B6%88%E8%B2%BB%E7%A8%8E%EF%BC%9A4%2C450%E5%86%86%EF%BC%8F%E8%AB%8B%E6%B1%82%E9%A1%8D%EF%BC%9A48%2C950%E5%86%86" TargetMode="External" Id="rId129" /><Relationship Type="http://schemas.openxmlformats.org/officeDocument/2006/relationships/hyperlink" Target="https://mail.google.com/mail/?view=cm&amp;fs=1&amp;to=seito130%40example.com&amp;su=%E4%BD%90%E8%97%A4%E8%92%BC%E6%A7%98%202026%E5%B9%B48%E6%9C%88%E5%88%86%E8%AB%8B%E6%B1%82%E3%81%AE%E3%81%8A%E7%9F%A5%E3%82%89%E3%81%9B&amp;body=%E6%95%99%E5%AE%A4%EF%BC%9A%E6%9D%B1%E6%A0%A1%EF%BC%8F%E3%82%B3%E3%83%BC%E3%82%B9%EF%BC%9A%E6%98%A0%E5%83%8F%E6%8E%88%E6%A5%AD%EF%BC%8F%E3%82%B3%E3%83%9E%E6%95%B0%EF%BC%9A16%E3%82%B3%E3%83%9E%EF%BC%8F%E6%8E%88%E6%A5%AD%E6%96%99%EF%BC%9A33%2C600%E5%86%86%EF%BC%8F%E6%95%99%E6%9D%90%E8%B2%BB%EF%BC%9A3%2C000%E5%86%86%EF%BC%8F%E6%B6%88%E8%B2%BB%E7%A8%8E%EF%BC%9A3%2C660%E5%86%86%EF%BC%8F%E8%AB%8B%E6%B1%82%E9%A1%8D%EF%BC%9A40%2C260%E5%86%86" TargetMode="External" Id="rId130" /><Relationship Type="http://schemas.openxmlformats.org/officeDocument/2006/relationships/hyperlink" Target="https://mail.google.com/mail/?view=cm&amp;fs=1&amp;to=seito131%40example.com&amp;su=%E5%89%8D%E7%94%B0%E7%B5%90%E7%BF%94%E6%A7%98%202026%E5%B9%B48%E6%9C%88%E5%88%86%E8%AB%8B%E6%B1%82%E3%81%AE%E3%81%8A%E7%9F%A5%E3%82%89%E3%81%9B&amp;body=%E6%95%99%E5%AE%A4%EF%BC%9A%E8%A5%BF%E6%A0%A1%EF%BC%8F%E3%82%B3%E3%83%BC%E3%82%B9%EF%BC%9A%E5%80%8B%E5%88%A5%E6%8C%87%E5%B0%8ES%EF%BC%8F%E3%82%B3%E3%83%9E%E6%95%B0%EF%BC%9A16%E3%82%B3%E3%83%9E%EF%BC%8F%E6%8E%88%E6%A5%AD%E6%96%99%EF%BC%9A64%2C000%E5%86%86%EF%BC%8F%E6%95%99%E6%9D%90%E8%B2%BB%EF%BC%9A7%2C000%E5%86%86%EF%BC%8F%E6%B6%88%E8%B2%BB%E7%A8%8E%EF%BC%9A7%2C100%E5%86%86%EF%BC%8F%E8%AB%8B%E6%B1%82%E9%A1%8D%EF%BC%9A78%2C100%E5%86%86" TargetMode="External" Id="rId131" /><Relationship Type="http://schemas.openxmlformats.org/officeDocument/2006/relationships/hyperlink" Target="https://mail.google.com/mail/?view=cm&amp;fs=1&amp;to=seito132%40example.com&amp;su=%E7%AB%B9%E5%86%85%E8%92%BC%E6%A7%98%202026%E5%B9%B48%E6%9C%88%E5%88%86%E8%AB%8B%E6%B1%82%E3%81%AE%E3%81%8A%E7%9F%A5%E3%82%89%E3%81%9B&amp;body=%E6%95%99%E5%AE%A4%EF%BC%9A%E8%A5%BF%E6%A0%A1%EF%BC%8F%E3%82%B3%E3%83%BC%E3%82%B9%EF%BC%9A%E9%9B%86%E5%9B%A3%E6%8E%88%E6%A5%AD%EF%BC%8F%E3%82%B3%E3%83%9E%E6%95%B0%EF%BC%9A4%E3%82%B3%E3%83%9E%EF%BC%8F%E6%8E%88%E6%A5%AD%E6%96%99%EF%BC%9A10%2C000%E5%86%86%EF%BC%8F%E6%95%99%E6%9D%90%E8%B2%BB%EF%BC%9A4%2C500%E5%86%86%EF%BC%8F%E6%B6%88%E8%B2%BB%E7%A8%8E%EF%BC%9A1%2C450%E5%86%86%EF%BC%8F%E8%AB%8B%E6%B1%82%E9%A1%8D%EF%BC%9A15%2C950%E5%86%86" TargetMode="External" Id="rId132" /><Relationship Type="http://schemas.openxmlformats.org/officeDocument/2006/relationships/hyperlink" Target="https://mail.google.com/mail/?view=cm&amp;fs=1&amp;to=seito133%40example.com&amp;su=%E5%8A%A0%E8%97%A4%E8%91%B5%E6%A7%98%202026%E5%B9%B48%E6%9C%88%E5%88%86%E8%AB%8B%E6%B1%82%E3%81%AE%E3%81%8A%E7%9F%A5%E3%82%89%E3%81%9B&amp;body=%E6%95%99%E5%AE%A4%EF%BC%9A%E8%A5%BF%E6%A0%A1%EF%BC%8F%E3%82%B3%E3%83%BC%E3%82%B9%EF%BC%9A%E5%80%8B%E5%88%A5%E6%8C%87%E5%B0%8E%EF%BC%8F%E3%82%B3%E3%83%9E%E6%95%B0%EF%BC%9A20%E3%82%B3%E3%83%9E%EF%BC%8F%E6%8E%88%E6%A5%AD%E6%96%99%EF%BC%9A70%2C000%E5%86%86%EF%BC%8F%E6%95%99%E6%9D%90%E8%B2%BB%EF%BC%9A6%2C000%E5%86%86%EF%BC%8F%E6%B6%88%E8%B2%BB%E7%A8%8E%EF%BC%9A7%2C600%E5%86%86%EF%BC%8F%E8%AB%8B%E6%B1%82%E9%A1%8D%EF%BC%9A83%2C600%E5%86%86" TargetMode="External" Id="rId133" /><Relationship Type="http://schemas.openxmlformats.org/officeDocument/2006/relationships/hyperlink" Target="https://mail.google.com/mail/?view=cm&amp;fs=1&amp;to=seito134%40example.com&amp;su=%E4%BD%90%E8%97%A4%E8%90%8C%E6%A7%98%202026%E5%B9%B48%E6%9C%88%E5%88%86%E8%AB%8B%E6%B1%82%E3%81%AE%E3%81%8A%E7%9F%A5%E3%82%89%E3%81%9B&amp;body=%E6%95%99%E5%AE%A4%EF%BC%9A%E8%A5%BF%E6%A0%A1%EF%BC%8F%E3%82%B3%E3%83%BC%E3%82%B9%EF%BC%9A%E9%9B%86%E5%9B%A3%E6%8E%88%E6%A5%AD%EF%BC%8F%E3%82%B3%E3%83%9E%E6%95%B0%EF%BC%9A20%E3%82%B3%E3%83%9E%EF%BC%8F%E6%8E%88%E6%A5%AD%E6%96%99%EF%BC%9A50%2C000%E5%86%86%EF%BC%8F%E6%95%99%E6%9D%90%E8%B2%BB%EF%BC%9A4%2C500%E5%86%86%EF%BC%8F%E6%B6%88%E8%B2%BB%E7%A8%8E%EF%BC%9A5%2C450%E5%86%86%EF%BC%8F%E8%AB%8B%E6%B1%82%E9%A1%8D%EF%BC%9A59%2C950%E5%86%86" TargetMode="External" Id="rId134" /><Relationship Type="http://schemas.openxmlformats.org/officeDocument/2006/relationships/hyperlink" Target="https://mail.google.com/mail/?view=cm&amp;fs=1&amp;to=seito135%40example.com&amp;su=%E9%98%BF%E9%83%A8%E8%8A%B1%E9%9F%B3%E6%A7%98%202026%E5%B9%B48%E6%9C%88%E5%88%86%E8%AB%8B%E6%B1%82%E3%81%AE%E3%81%8A%E7%9F%A5%E3%82%89%E3%81%9B&amp;body=%E6%95%99%E5%AE%A4%EF%BC%9A%E8%A5%BF%E6%A0%A1%EF%BC%8F%E3%82%B3%E3%83%BC%E3%82%B9%EF%BC%9A%E5%80%8B%E5%88%A5%E6%8C%87%E5%B0%8E%EF%BC%8F%E3%82%B3%E3%83%9E%E6%95%B0%EF%BC%9A16%E3%82%B3%E3%83%9E%EF%BC%8F%E6%8E%88%E6%A5%AD%E6%96%99%EF%BC%9A56%2C000%E5%86%86%EF%BC%8F%E6%95%99%E6%9D%90%E8%B2%BB%EF%BC%9A6%2C000%E5%86%86%EF%BC%8F%E6%B6%88%E8%B2%BB%E7%A8%8E%EF%BC%9A6%2C200%E5%86%86%EF%BC%8F%E8%AB%8B%E6%B1%82%E9%A1%8D%EF%BC%9A68%2C200%E5%86%86" TargetMode="External" Id="rId135" /><Relationship Type="http://schemas.openxmlformats.org/officeDocument/2006/relationships/hyperlink" Target="https://mail.google.com/mail/?view=cm&amp;fs=1&amp;to=seito136%40example.com&amp;su=%E8%BF%91%E8%97%A4%E5%A4%A7%E5%92%8C%E6%A7%98%202026%E5%B9%B48%E6%9C%88%E5%88%86%E8%AB%8B%E6%B1%82%E3%81%AE%E3%81%8A%E7%9F%A5%E3%82%89%E3%81%9B&amp;body=%E6%95%99%E5%AE%A4%EF%BC%9A%E8%A5%BF%E6%A0%A1%EF%BC%8F%E3%82%B3%E3%83%BC%E3%82%B9%EF%BC%9A%E6%98%A0%E5%83%8F%E6%8E%88%E6%A5%AD%EF%BC%8F%E3%82%B3%E3%83%9E%E6%95%B0%EF%BC%9A12%E3%82%B3%E3%83%9E%EF%BC%8F%E6%8E%88%E6%A5%AD%E6%96%99%EF%BC%9A25%2C200%E5%86%86%EF%BC%8F%E6%95%99%E6%9D%90%E8%B2%BB%EF%BC%9A3%2C000%E5%86%86%EF%BC%8F%E6%B6%88%E8%B2%BB%E7%A8%8E%EF%BC%9A2%2C820%E5%86%86%EF%BC%8F%E8%AB%8B%E6%B1%82%E9%A1%8D%EF%BC%9A31%2C020%E5%86%86" TargetMode="External" Id="rId136" /><Relationship Type="http://schemas.openxmlformats.org/officeDocument/2006/relationships/hyperlink" Target="https://mail.google.com/mail/?view=cm&amp;fs=1&amp;to=seito137%40example.com&amp;su=%E7%94%B0%E6%9D%91%E9%99%BD%E5%90%91%E6%A7%98%202026%E5%B9%B48%E6%9C%88%E5%88%86%E8%AB%8B%E6%B1%82%E3%81%AE%E3%81%8A%E7%9F%A5%E3%82%89%E3%81%9B&amp;body=%E6%95%99%E5%AE%A4%EF%BC%9A%E8%A5%BF%E6%A0%A1%EF%BC%8F%E3%82%B3%E3%83%BC%E3%82%B9%EF%BC%9A%E6%98%A0%E5%83%8F%E6%8E%88%E6%A5%AD%EF%BC%8F%E3%82%B3%E3%83%9E%E6%95%B0%EF%BC%9A16%E3%82%B3%E3%83%9E%EF%BC%8F%E6%8E%88%E6%A5%AD%E6%96%99%EF%BC%9A33%2C600%E5%86%86%EF%BC%8F%E6%95%99%E6%9D%90%E8%B2%BB%EF%BC%9A3%2C000%E5%86%86%EF%BC%8F%E6%B6%88%E8%B2%BB%E7%A8%8E%EF%BC%9A3%2C660%E5%86%86%EF%BC%8F%E8%AB%8B%E6%B1%82%E9%A1%8D%EF%BC%9A40%2C260%E5%86%86" TargetMode="External" Id="rId137" /><Relationship Type="http://schemas.openxmlformats.org/officeDocument/2006/relationships/hyperlink" Target="https://mail.google.com/mail/?view=cm&amp;fs=1&amp;to=seito138%40example.com&amp;su=%E5%B2%A1%E6%9C%AC%E7%BE%8E%E7%B5%90%E6%A7%98%202026%E5%B9%B48%E6%9C%88%E5%88%86%E8%AB%8B%E6%B1%82%E3%81%AE%E3%81%8A%E7%9F%A5%E3%82%89%E3%81%9B&amp;body=%E6%95%99%E5%AE%A4%EF%BC%9A%E8%A5%BF%E6%A0%A1%EF%BC%8F%E3%82%B3%E3%83%BC%E3%82%B9%EF%BC%9A%E6%98%A0%E5%83%8F%E6%8E%88%E6%A5%AD%EF%BC%8F%E3%82%B3%E3%83%9E%E6%95%B0%EF%BC%9A12%E3%82%B3%E3%83%9E%EF%BC%8F%E6%8E%88%E6%A5%AD%E6%96%99%EF%BC%9A25%2C200%E5%86%86%EF%BC%8F%E6%95%99%E6%9D%90%E8%B2%BB%EF%BC%9A3%2C000%E5%86%86%EF%BC%8F%E6%B6%88%E8%B2%BB%E7%A8%8E%EF%BC%9A2%2C820%E5%86%86%EF%BC%8F%E8%AB%8B%E6%B1%82%E9%A1%8D%EF%BC%9A31%2C020%E5%86%86" TargetMode="External" Id="rId138" /><Relationship Type="http://schemas.openxmlformats.org/officeDocument/2006/relationships/hyperlink" Target="https://mail.google.com/mail/?view=cm&amp;fs=1&amp;to=seito139%40example.com&amp;su=%E6%A3%AE%E8%8A%B1%E9%9F%B3%E6%A7%98%202026%E5%B9%B48%E6%9C%88%E5%88%86%E8%AB%8B%E6%B1%82%E3%81%AE%E3%81%8A%E7%9F%A5%E3%82%89%E3%81%9B&amp;body=%E6%95%99%E5%AE%A4%EF%BC%9A%E8%A5%BF%E6%A0%A1%EF%BC%8F%E3%82%B3%E3%83%BC%E3%82%B9%EF%BC%9A%E9%9B%86%E5%9B%A3%E6%8E%88%E6%A5%AD%EF%BC%8F%E3%82%B3%E3%83%9E%E6%95%B0%EF%BC%9A12%E3%82%B3%E3%83%9E%EF%BC%8F%E6%8E%88%E6%A5%AD%E6%96%99%EF%BC%9A30%2C000%E5%86%86%EF%BC%8F%E6%95%99%E6%9D%90%E8%B2%BB%EF%BC%9A4%2C500%E5%86%86%EF%BC%8F%E6%B6%88%E8%B2%BB%E7%A8%8E%EF%BC%9A3%2C450%E5%86%86%EF%BC%8F%E8%AB%8B%E6%B1%82%E9%A1%8D%EF%BC%9A37%2C950%E5%86%86" TargetMode="External" Id="rId139" /><Relationship Type="http://schemas.openxmlformats.org/officeDocument/2006/relationships/hyperlink" Target="https://mail.google.com/mail/?view=cm&amp;fs=1&amp;to=seito140%40example.com&amp;su=%E5%A4%AA%E7%94%B0%E5%84%AA%E5%A5%88%E6%A7%98%202026%E5%B9%B48%E6%9C%88%E5%88%86%E8%AB%8B%E6%B1%82%E3%81%AE%E3%81%8A%E7%9F%A5%E3%82%89%E3%81%9B&amp;body=%E6%95%99%E5%AE%A4%EF%BC%9A%E8%A5%BF%E6%A0%A1%EF%BC%8F%E3%82%B3%E3%83%BC%E3%82%B9%EF%BC%9A%E5%80%8B%E5%88%A5%E6%8C%87%E5%B0%8E%EF%BC%8F%E3%82%B3%E3%83%9E%E6%95%B0%EF%BC%9A12%E3%82%B3%E3%83%9E%EF%BC%8F%E6%8E%88%E6%A5%AD%E6%96%99%EF%BC%9A42%2C000%E5%86%86%EF%BC%8F%E6%95%99%E6%9D%90%E8%B2%BB%EF%BC%9A6%2C000%E5%86%86%EF%BC%8F%E6%B6%88%E8%B2%BB%E7%A8%8E%EF%BC%9A4%2C800%E5%86%86%EF%BC%8F%E8%AB%8B%E6%B1%82%E9%A1%8D%EF%BC%9A52%2C800%E5%86%86" TargetMode="External" Id="rId140" /><Relationship Type="http://schemas.openxmlformats.org/officeDocument/2006/relationships/hyperlink" Target="https://mail.google.com/mail/?view=cm&amp;fs=1&amp;to=seito141%40example.com&amp;su=%E5%B1%B1%E6%9C%AC%E7%BE%8E%E6%9C%88%E6%A7%98%202026%E5%B9%B48%E6%9C%88%E5%88%86%E8%AB%8B%E6%B1%82%E3%81%AE%E3%81%8A%E7%9F%A5%E3%82%89%E3%81%9B&amp;body=%E6%95%99%E5%AE%A4%EF%BC%9A%E8%A5%BF%E6%A0%A1%EF%BC%8F%E3%82%B3%E3%83%BC%E3%82%B9%EF%BC%9A%E6%98%A0%E5%83%8F%E6%8E%88%E6%A5%AD%EF%BC%8F%E3%82%B3%E3%83%9E%E6%95%B0%EF%BC%9A12%E3%82%B3%E3%83%9E%EF%BC%8F%E6%8E%88%E6%A5%AD%E6%96%99%EF%BC%9A25%2C200%E5%86%86%EF%BC%8F%E6%95%99%E6%9D%90%E8%B2%BB%EF%BC%9A3%2C000%E5%86%86%EF%BC%8F%E6%B6%88%E8%B2%BB%E7%A8%8E%EF%BC%9A2%2C820%E5%86%86%EF%BC%8F%E8%AB%8B%E6%B1%82%E9%A1%8D%EF%BC%9A31%2C020%E5%86%86" TargetMode="External" Id="rId141" /><Relationship Type="http://schemas.openxmlformats.org/officeDocument/2006/relationships/hyperlink" Target="https://mail.google.com/mail/?view=cm&amp;fs=1&amp;to=seito142%40example.com&amp;su=%E6%9C%A8%E6%9D%91%E5%BF%83%E6%98%A5%E6%A7%98%202026%E5%B9%B48%E6%9C%88%E5%88%86%E8%AB%8B%E6%B1%82%E3%81%AE%E3%81%8A%E7%9F%A5%E3%82%89%E3%81%9B&amp;body=%E6%95%99%E5%AE%A4%EF%BC%9A%E8%A5%BF%E6%A0%A1%EF%BC%8F%E3%82%B3%E3%83%BC%E3%82%B9%EF%BC%9A%E5%80%8B%E5%88%A5%E6%8C%87%E5%B0%8ES%EF%BC%8F%E3%82%B3%E3%83%9E%E6%95%B0%EF%BC%9A16%E3%82%B3%E3%83%9E%EF%BC%8F%E6%8E%88%E6%A5%AD%E6%96%99%EF%BC%9A64%2C000%E5%86%86%EF%BC%8F%E6%95%99%E6%9D%90%E8%B2%BB%EF%BC%9A7%2C000%E5%86%86%EF%BC%8F%E6%B6%88%E8%B2%BB%E7%A8%8E%EF%BC%9A7%2C100%E5%86%86%EF%BC%8F%E8%AB%8B%E6%B1%82%E9%A1%8D%EF%BC%9A78%2C100%E5%86%86" TargetMode="External" Id="rId142" /><Relationship Type="http://schemas.openxmlformats.org/officeDocument/2006/relationships/hyperlink" Target="https://mail.google.com/mail/?view=cm&amp;fs=1&amp;to=seito143%40example.com&amp;su=%E5%B1%B1%E5%8F%A3%E6%9C%9D%E9%99%BD%E6%A7%98%202026%E5%B9%B48%E6%9C%88%E5%88%86%E8%AB%8B%E6%B1%82%E3%81%AE%E3%81%8A%E7%9F%A5%E3%82%89%E3%81%9B&amp;body=%E6%95%99%E5%AE%A4%EF%BC%9A%E8%A5%BF%E6%A0%A1%EF%BC%8F%E3%82%B3%E3%83%BC%E3%82%B9%EF%BC%9A%E9%9B%86%E5%9B%A3%E6%8E%88%E6%A5%AD%EF%BC%8F%E3%82%B3%E3%83%9E%E6%95%B0%EF%BC%9A12%E3%82%B3%E3%83%9E%EF%BC%8F%E6%8E%88%E6%A5%AD%E6%96%99%EF%BC%9A30%2C000%E5%86%86%EF%BC%8F%E6%95%99%E6%9D%90%E8%B2%BB%EF%BC%9A4%2C500%E5%86%86%EF%BC%8F%E6%B6%88%E8%B2%BB%E7%A8%8E%EF%BC%9A3%2C450%E5%86%86%EF%BC%8F%E8%AB%8B%E6%B1%82%E9%A1%8D%EF%BC%9A37%2C950%E5%86%86" TargetMode="External" Id="rId143" /><Relationship Type="http://schemas.openxmlformats.org/officeDocument/2006/relationships/hyperlink" Target="https://mail.google.com/mail/?view=cm&amp;fs=1&amp;to=seito144%40example.com&amp;su=%E4%BC%8A%E8%97%A4%E6%A5%93%E6%A7%98%202026%E5%B9%B48%E6%9C%88%E5%88%86%E8%AB%8B%E6%B1%82%E3%81%AE%E3%81%8A%E7%9F%A5%E3%82%89%E3%81%9B&amp;body=%E6%95%99%E5%AE%A4%EF%BC%9A%E8%A5%BF%E6%A0%A1%EF%BC%8F%E3%82%B3%E3%83%BC%E3%82%B9%EF%BC%9A%E5%80%8B%E5%88%A5%E6%8C%87%E5%B0%8ES%EF%BC%8F%E3%82%B3%E3%83%9E%E6%95%B0%EF%BC%9A16%E3%82%B3%E3%83%9E%EF%BC%8F%E6%8E%88%E6%A5%AD%E6%96%99%EF%BC%9A64%2C000%E5%86%86%EF%BC%8F%E6%95%99%E6%9D%90%E8%B2%BB%EF%BC%9A7%2C000%E5%86%86%EF%BC%8F%E6%B6%88%E8%B2%BB%E7%A8%8E%EF%BC%9A7%2C100%E5%86%86%EF%BC%8F%E8%AB%8B%E6%B1%82%E9%A1%8D%EF%BC%9A78%2C100%E5%86%86" TargetMode="External" Id="rId144" /><Relationship Type="http://schemas.openxmlformats.org/officeDocument/2006/relationships/hyperlink" Target="https://mail.google.com/mail/?view=cm&amp;fs=1&amp;to=seito145%40example.com&amp;su=%E6%96%8E%E8%97%A4%E4%B8%80%E8%BC%9D%E6%A7%98%202026%E5%B9%B48%E6%9C%88%E5%88%86%E8%AB%8B%E6%B1%82%E3%81%AE%E3%81%8A%E7%9F%A5%E3%82%89%E3%81%9B&amp;body=%E6%95%99%E5%AE%A4%EF%BC%9A%E8%A5%BF%E6%A0%A1%EF%BC%8F%E3%82%B3%E3%83%BC%E3%82%B9%EF%BC%9A%E5%80%8B%E5%88%A5%E6%8C%87%E5%B0%8ES%EF%BC%8F%E3%82%B3%E3%83%9E%E6%95%B0%EF%BC%9A20%E3%82%B3%E3%83%9E%EF%BC%8F%E6%8E%88%E6%A5%AD%E6%96%99%EF%BC%9A80%2C000%E5%86%86%EF%BC%8F%E6%95%99%E6%9D%90%E8%B2%BB%EF%BC%9A7%2C000%E5%86%86%EF%BC%8F%E6%B6%88%E8%B2%BB%E7%A8%8E%EF%BC%9A8%2C700%E5%86%86%EF%BC%8F%E8%AB%8B%E6%B1%82%E9%A1%8D%EF%BC%9A95%2C700%E5%86%86" TargetMode="External" Id="rId145" /><Relationship Type="http://schemas.openxmlformats.org/officeDocument/2006/relationships/hyperlink" Target="https://mail.google.com/mail/?view=cm&amp;fs=1&amp;to=seito146%40example.com&amp;su=%E9%81%A0%E8%97%A4%E5%A4%A7%E5%92%8C%E6%A7%98%202026%E5%B9%B48%E6%9C%88%E5%88%86%E8%AB%8B%E6%B1%82%E3%81%AE%E3%81%8A%E7%9F%A5%E3%82%89%E3%81%9B&amp;body=%E6%95%99%E5%AE%A4%EF%BC%9A%E8%A5%BF%E6%A0%A1%EF%BC%8F%E3%82%B3%E3%83%BC%E3%82%B9%EF%BC%9A%E6%98%A0%E5%83%8F%E6%8E%88%E6%A5%AD%EF%BC%8F%E3%82%B3%E3%83%9E%E6%95%B0%EF%BC%9A4%E3%82%B3%E3%83%9E%EF%BC%8F%E6%8E%88%E6%A5%AD%E6%96%99%EF%BC%9A8%2C400%E5%86%86%EF%BC%8F%E6%95%99%E6%9D%90%E8%B2%BB%EF%BC%9A3%2C000%E5%86%86%EF%BC%8F%E6%B6%88%E8%B2%BB%E7%A8%8E%EF%BC%9A1%2C140%E5%86%86%EF%BC%8F%E8%AB%8B%E6%B1%82%E9%A1%8D%EF%BC%9A12%2C540%E5%86%86" TargetMode="External" Id="rId146" /><Relationship Type="http://schemas.openxmlformats.org/officeDocument/2006/relationships/hyperlink" Target="https://mail.google.com/mail/?view=cm&amp;fs=1&amp;to=seito147%40example.com&amp;su=%E9%87%91%E5%AD%90%E5%BF%83%E6%98%A5%E6%A7%98%202026%E5%B9%B48%E6%9C%88%E5%88%86%E8%AB%8B%E6%B1%82%E3%81%AE%E3%81%8A%E7%9F%A5%E3%82%89%E3%81%9B&amp;body=%E6%95%99%E5%AE%A4%EF%BC%9A%E8%A5%BF%E6%A0%A1%EF%BC%8F%E3%82%B3%E3%83%BC%E3%82%B9%EF%BC%9A%E9%9B%86%E5%9B%A3%E6%8E%88%E6%A5%AD%EF%BC%8F%E3%82%B3%E3%83%9E%E6%95%B0%EF%BC%9A20%E3%82%B3%E3%83%9E%EF%BC%8F%E6%8E%88%E6%A5%AD%E6%96%99%EF%BC%9A50%2C000%E5%86%86%EF%BC%8F%E6%95%99%E6%9D%90%E8%B2%BB%EF%BC%9A4%2C500%E5%86%86%EF%BC%8F%E6%B6%88%E8%B2%BB%E7%A8%8E%EF%BC%9A5%2C450%E5%86%86%EF%BC%8F%E8%AB%8B%E6%B1%82%E9%A1%8D%EF%BC%9A59%2C950%E5%86%86" TargetMode="External" Id="rId147" /><Relationship Type="http://schemas.openxmlformats.org/officeDocument/2006/relationships/hyperlink" Target="https://mail.google.com/mail/?view=cm&amp;fs=1&amp;to=seito148%40example.com&amp;su=%E7%94%B0%E4%B8%AD%E7%BE%8E%E6%A1%9C%E6%A7%98%202026%E5%B9%B48%E6%9C%88%E5%88%86%E8%AB%8B%E6%B1%82%E3%81%AE%E3%81%8A%E7%9F%A5%E3%82%89%E3%81%9B&amp;body=%E6%95%99%E5%AE%A4%EF%BC%9A%E8%A5%BF%E6%A0%A1%EF%BC%8F%E3%82%B3%E3%83%BC%E3%82%B9%EF%BC%9A%E6%98%A0%E5%83%8F%E6%8E%88%E6%A5%AD%EF%BC%8F%E3%82%B3%E3%83%9E%E6%95%B0%EF%BC%9A4%E3%82%B3%E3%83%9E%EF%BC%8F%E6%8E%88%E6%A5%AD%E6%96%99%EF%BC%9A8%2C400%E5%86%86%EF%BC%8F%E6%95%99%E6%9D%90%E8%B2%BB%EF%BC%9A3%2C000%E5%86%86%EF%BC%8F%E6%B6%88%E8%B2%BB%E7%A8%8E%EF%BC%9A1%2C140%E5%86%86%EF%BC%8F%E8%AB%8B%E6%B1%82%E9%A1%8D%EF%BC%9A12%2C540%E5%86%86" TargetMode="External" Id="rId148" /><Relationship Type="http://schemas.openxmlformats.org/officeDocument/2006/relationships/hyperlink" Target="https://mail.google.com/mail/?view=cm&amp;fs=1&amp;to=seito149%40example.com&amp;su=%E5%B0%8F%E9%87%8E%E6%B9%8A%E6%A7%98%202026%E5%B9%B48%E6%9C%88%E5%88%86%E8%AB%8B%E6%B1%82%E3%81%AE%E3%81%8A%E7%9F%A5%E3%82%89%E3%81%9B&amp;body=%E6%95%99%E5%AE%A4%EF%BC%9A%E8%A5%BF%E6%A0%A1%EF%BC%8F%E3%82%B3%E3%83%BC%E3%82%B9%EF%BC%9A%E9%9B%86%E5%9B%A3%E6%8E%88%E6%A5%AD%EF%BC%8F%E3%82%B3%E3%83%9E%E6%95%B0%EF%BC%9A20%E3%82%B3%E3%83%9E%EF%BC%8F%E6%8E%88%E6%A5%AD%E6%96%99%EF%BC%9A50%2C000%E5%86%86%EF%BC%8F%E6%95%99%E6%9D%90%E8%B2%BB%EF%BC%9A4%2C500%E5%86%86%EF%BC%8F%E6%B6%88%E8%B2%BB%E7%A8%8E%EF%BC%9A5%2C450%E5%86%86%EF%BC%8F%E8%AB%8B%E6%B1%82%E9%A1%8D%EF%BC%9A59%2C950%E5%86%86" TargetMode="External" Id="rId149" /><Relationship Type="http://schemas.openxmlformats.org/officeDocument/2006/relationships/hyperlink" Target="https://mail.google.com/mail/?view=cm&amp;fs=1&amp;to=seito150%40example.com&amp;su=%E7%9F%B3%E4%BA%95%E7%90%B4%E9%9F%B3%E6%A7%98%202026%E5%B9%B48%E6%9C%88%E5%88%86%E8%AB%8B%E6%B1%82%E3%81%AE%E3%81%8A%E7%9F%A5%E3%82%89%E3%81%9B&amp;body=%E6%95%99%E5%AE%A4%EF%BC%9A%E8%A5%BF%E6%A0%A1%EF%BC%8F%E3%82%B3%E3%83%BC%E3%82%B9%EF%BC%9A%E9%9B%86%E5%9B%A3%E6%8E%88%E6%A5%AD%EF%BC%8F%E3%82%B3%E3%83%9E%E6%95%B0%EF%BC%9A16%E3%82%B3%E3%83%9E%EF%BC%8F%E6%8E%88%E6%A5%AD%E6%96%99%EF%BC%9A40%2C000%E5%86%86%EF%BC%8F%E6%95%99%E6%9D%90%E8%B2%BB%EF%BC%9A4%2C500%E5%86%86%EF%BC%8F%E6%B6%88%E8%B2%BB%E7%A8%8E%EF%BC%9A4%2C450%E5%86%86%EF%BC%8F%E8%AB%8B%E6%B1%82%E9%A1%8D%EF%BC%9A48%2C950%E5%86%86" TargetMode="External" Id="rId150" /><Relationship Type="http://schemas.openxmlformats.org/officeDocument/2006/relationships/hyperlink" Target="https://mail.google.com/mail/?view=cm&amp;fs=1&amp;to=seito151%40example.com&amp;su=%E8%BF%91%E8%97%A4%E5%A4%A7%E7%BF%94%E6%A7%98%202026%E5%B9%B48%E6%9C%88%E5%88%86%E8%AB%8B%E6%B1%82%E3%81%AE%E3%81%8A%E7%9F%A5%E3%82%89%E3%81%9B&amp;body=%E6%95%99%E5%AE%A4%EF%BC%9A%E8%A5%BF%E6%A0%A1%EF%BC%8F%E3%82%B3%E3%83%BC%E3%82%B9%EF%BC%9A%E5%80%8B%E5%88%A5%E6%8C%87%E5%B0%8ES%EF%BC%8F%E3%82%B3%E3%83%9E%E6%95%B0%EF%BC%9A4%E3%82%B3%E3%83%9E%EF%BC%8F%E6%8E%88%E6%A5%AD%E6%96%99%EF%BC%9A16%2C000%E5%86%86%EF%BC%8F%E6%95%99%E6%9D%90%E8%B2%BB%EF%BC%9A7%2C000%E5%86%86%EF%BC%8F%E6%B6%88%E8%B2%BB%E7%A8%8E%EF%BC%9A2%2C300%E5%86%86%EF%BC%8F%E8%AB%8B%E6%B1%82%E9%A1%8D%EF%BC%9A25%2C300%E5%86%86" TargetMode="External" Id="rId151" /><Relationship Type="http://schemas.openxmlformats.org/officeDocument/2006/relationships/hyperlink" Target="https://mail.google.com/mail/?view=cm&amp;fs=1&amp;to=seito152%40example.com&amp;su=%E4%BD%90%E8%97%A4%E6%82%A0%E7%9C%9F%E6%A7%98%202026%E5%B9%B48%E6%9C%88%E5%88%86%E8%AB%8B%E6%B1%82%E3%81%AE%E3%81%8A%E7%9F%A5%E3%82%89%E3%81%9B&amp;body=%E6%95%99%E5%AE%A4%EF%BC%9A%E8%A5%BF%E6%A0%A1%EF%BC%8F%E3%82%B3%E3%83%BC%E3%82%B9%EF%BC%9A%E5%80%8B%E5%88%A5%E6%8C%87%E5%B0%8E%EF%BC%8F%E3%82%B3%E3%83%9E%E6%95%B0%EF%BC%9A12%E3%82%B3%E3%83%9E%EF%BC%8F%E6%8E%88%E6%A5%AD%E6%96%99%EF%BC%9A42%2C000%E5%86%86%EF%BC%8F%E6%95%99%E6%9D%90%E8%B2%BB%EF%BC%9A6%2C000%E5%86%86%EF%BC%8F%E6%B6%88%E8%B2%BB%E7%A8%8E%EF%BC%9A4%2C800%E5%86%86%EF%BC%8F%E8%AB%8B%E6%B1%82%E9%A1%8D%EF%BC%9A52%2C800%E5%86%86" TargetMode="External" Id="rId152" /><Relationship Type="http://schemas.openxmlformats.org/officeDocument/2006/relationships/hyperlink" Target="https://mail.google.com/mail/?view=cm&amp;fs=1&amp;to=seito153%40example.com&amp;su=%E9%95%B7%E8%B0%B7%E5%B7%9D%E7%BE%8E%E6%9C%88%E6%A7%98%202026%E5%B9%B48%E6%9C%88%E5%88%86%E8%AB%8B%E6%B1%82%E3%81%AE%E3%81%8A%E7%9F%A5%E3%82%89%E3%81%9B&amp;body=%E6%95%99%E5%AE%A4%EF%BC%9A%E8%A5%BF%E6%A0%A1%EF%BC%8F%E3%82%B3%E3%83%BC%E3%82%B9%EF%BC%9A%E5%80%8B%E5%88%A5%E6%8C%87%E5%B0%8ES%EF%BC%8F%E3%82%B3%E3%83%9E%E6%95%B0%EF%BC%9A20%E3%82%B3%E3%83%9E%EF%BC%8F%E6%8E%88%E6%A5%AD%E6%96%99%EF%BC%9A80%2C000%E5%86%86%EF%BC%8F%E6%95%99%E6%9D%90%E8%B2%BB%EF%BC%9A7%2C000%E5%86%86%EF%BC%8F%E6%B6%88%E8%B2%BB%E7%A8%8E%EF%BC%9A8%2C700%E5%86%86%EF%BC%8F%E8%AB%8B%E6%B1%82%E9%A1%8D%EF%BC%9A95%2C700%E5%86%86" TargetMode="External" Id="rId153" /><Relationship Type="http://schemas.openxmlformats.org/officeDocument/2006/relationships/hyperlink" Target="https://mail.google.com/mail/?view=cm&amp;fs=1&amp;to=seito154%40example.com&amp;su=%E8%BF%91%E8%97%A4%E6%8B%93%E4%B9%9F%E6%A7%98%202026%E5%B9%B48%E6%9C%88%E5%88%86%E8%AB%8B%E6%B1%82%E3%81%AE%E3%81%8A%E7%9F%A5%E3%82%89%E3%81%9B&amp;body=%E6%95%99%E5%AE%A4%EF%BC%9A%E8%A5%BF%E6%A0%A1%EF%BC%8F%E3%82%B3%E3%83%BC%E3%82%B9%EF%BC%9A%E5%80%8B%E5%88%A5%E6%8C%87%E5%B0%8ES%EF%BC%8F%E3%82%B3%E3%83%9E%E6%95%B0%EF%BC%9A8%E3%82%B3%E3%83%9E%EF%BC%8F%E6%8E%88%E6%A5%AD%E6%96%99%EF%BC%9A32%2C000%E5%86%86%EF%BC%8F%E6%95%99%E6%9D%90%E8%B2%BB%EF%BC%9A7%2C000%E5%86%86%EF%BC%8F%E6%B6%88%E8%B2%BB%E7%A8%8E%EF%BC%9A3%2C900%E5%86%86%EF%BC%8F%E8%AB%8B%E6%B1%82%E9%A1%8D%EF%BC%9A42%2C900%E5%86%86" TargetMode="External" Id="rId154" /><Relationship Type="http://schemas.openxmlformats.org/officeDocument/2006/relationships/hyperlink" Target="https://mail.google.com/mail/?view=cm&amp;fs=1&amp;to=seito155%40example.com&amp;su=%E4%B8%AD%E6%9D%91%E9%A7%BF%E6%A7%98%202026%E5%B9%B48%E6%9C%88%E5%88%86%E8%AB%8B%E6%B1%82%E3%81%AE%E3%81%8A%E7%9F%A5%E3%82%89%E3%81%9B&amp;body=%E6%95%99%E5%AE%A4%EF%BC%9A%E8%A5%BF%E6%A0%A1%EF%BC%8F%E3%82%B3%E3%83%BC%E3%82%B9%EF%BC%9A%E6%98%A0%E5%83%8F%E6%8E%88%E6%A5%AD%EF%BC%8F%E3%82%B3%E3%83%9E%E6%95%B0%EF%BC%9A4%E3%82%B3%E3%83%9E%EF%BC%8F%E6%8E%88%E6%A5%AD%E6%96%99%EF%BC%9A8%2C400%E5%86%86%EF%BC%8F%E6%95%99%E6%9D%90%E8%B2%BB%EF%BC%9A3%2C000%E5%86%86%EF%BC%8F%E6%B6%88%E8%B2%BB%E7%A8%8E%EF%BC%9A1%2C140%E5%86%86%EF%BC%8F%E8%AB%8B%E6%B1%82%E9%A1%8D%EF%BC%9A12%2C540%E5%86%86" TargetMode="External" Id="rId155" /><Relationship Type="http://schemas.openxmlformats.org/officeDocument/2006/relationships/hyperlink" Target="https://mail.google.com/mail/?view=cm&amp;fs=1&amp;to=seito156%40example.com&amp;su=%E4%BC%8A%E8%97%A4%E7%85%8C%E6%A7%98%202026%E5%B9%B48%E6%9C%88%E5%88%86%E8%AB%8B%E6%B1%82%E3%81%AE%E3%81%8A%E7%9F%A5%E3%82%89%E3%81%9B&amp;body=%E6%95%99%E5%AE%A4%EF%BC%9A%E8%A5%BF%E6%A0%A1%EF%BC%8F%E3%82%B3%E3%83%BC%E3%82%B9%EF%BC%9A%E6%98%A0%E5%83%8F%E6%8E%88%E6%A5%AD%EF%BC%8F%E3%82%B3%E3%83%9E%E6%95%B0%EF%BC%9A12%E3%82%B3%E3%83%9E%EF%BC%8F%E6%8E%88%E6%A5%AD%E6%96%99%EF%BC%9A25%2C200%E5%86%86%EF%BC%8F%E6%95%99%E6%9D%90%E8%B2%BB%EF%BC%9A3%2C000%E5%86%86%EF%BC%8F%E6%B6%88%E8%B2%BB%E7%A8%8E%EF%BC%9A2%2C820%E5%86%86%EF%BC%8F%E8%AB%8B%E6%B1%82%E9%A1%8D%EF%BC%9A31%2C020%E5%86%86" TargetMode="External" Id="rId156" /><Relationship Type="http://schemas.openxmlformats.org/officeDocument/2006/relationships/hyperlink" Target="https://mail.google.com/mail/?view=cm&amp;fs=1&amp;to=seito157%40example.com&amp;su=%E9%87%91%E5%AD%90%E7%BE%8E%E6%A1%9C%E6%A7%98%202026%E5%B9%B48%E6%9C%88%E5%88%86%E8%AB%8B%E6%B1%82%E3%81%AE%E3%81%8A%E7%9F%A5%E3%82%89%E3%81%9B&amp;body=%E6%95%99%E5%AE%A4%EF%BC%9A%E8%A5%BF%E6%A0%A1%EF%BC%8F%E3%82%B3%E3%83%BC%E3%82%B9%EF%BC%9A%E9%9B%86%E5%9B%A3%E6%8E%88%E6%A5%AD%EF%BC%8F%E3%82%B3%E3%83%9E%E6%95%B0%EF%BC%9A16%E3%82%B3%E3%83%9E%EF%BC%8F%E6%8E%88%E6%A5%AD%E6%96%99%EF%BC%9A40%2C000%E5%86%86%EF%BC%8F%E6%95%99%E6%9D%90%E8%B2%BB%EF%BC%9A4%2C500%E5%86%86%EF%BC%8F%E6%B6%88%E8%B2%BB%E7%A8%8E%EF%BC%9A4%2C450%E5%86%86%EF%BC%8F%E8%AB%8B%E6%B1%82%E9%A1%8D%EF%BC%9A48%2C950%E5%86%86" TargetMode="External" Id="rId157" /><Relationship Type="http://schemas.openxmlformats.org/officeDocument/2006/relationships/hyperlink" Target="https://mail.google.com/mail/?view=cm&amp;fs=1&amp;to=seito158%40example.com&amp;su=%E6%B1%A0%E7%94%B0%E5%BD%A9%E8%8A%B1%E6%A7%98%202026%E5%B9%B48%E6%9C%88%E5%88%86%E8%AB%8B%E6%B1%82%E3%81%AE%E3%81%8A%E7%9F%A5%E3%82%89%E3%81%9B&amp;body=%E6%95%99%E5%AE%A4%EF%BC%9A%E8%A5%BF%E6%A0%A1%EF%BC%8F%E3%82%B3%E3%83%BC%E3%82%B9%EF%BC%9A%E6%98%A0%E5%83%8F%E6%8E%88%E6%A5%AD%EF%BC%8F%E3%82%B3%E3%83%9E%E6%95%B0%EF%BC%9A8%E3%82%B3%E3%83%9E%EF%BC%8F%E6%8E%88%E6%A5%AD%E6%96%99%EF%BC%9A16%2C800%E5%86%86%EF%BC%8F%E6%95%99%E6%9D%90%E8%B2%BB%EF%BC%9A3%2C000%E5%86%86%EF%BC%8F%E6%B6%88%E8%B2%BB%E7%A8%8E%EF%BC%9A1%2C980%E5%86%86%EF%BC%8F%E8%AB%8B%E6%B1%82%E9%A1%8D%EF%BC%9A21%2C780%E5%86%86" TargetMode="External" Id="rId158" /><Relationship Type="http://schemas.openxmlformats.org/officeDocument/2006/relationships/hyperlink" Target="https://mail.google.com/mail/?view=cm&amp;fs=1&amp;to=seito159%40example.com&amp;su=%E5%B2%A1%E6%9C%AC%E6%82%A0%E6%96%97%E6%A7%98%202026%E5%B9%B48%E6%9C%88%E5%88%86%E8%AB%8B%E6%B1%82%E3%81%AE%E3%81%8A%E7%9F%A5%E3%82%89%E3%81%9B&amp;body=%E6%95%99%E5%AE%A4%EF%BC%9A%E8%A5%BF%E6%A0%A1%EF%BC%8F%E3%82%B3%E3%83%BC%E3%82%B9%EF%BC%9A%E5%80%8B%E5%88%A5%E6%8C%87%E5%B0%8E%EF%BC%8F%E3%82%B3%E3%83%9E%E6%95%B0%EF%BC%9A16%E3%82%B3%E3%83%9E%EF%BC%8F%E6%8E%88%E6%A5%AD%E6%96%99%EF%BC%9A56%2C000%E5%86%86%EF%BC%8F%E6%95%99%E6%9D%90%E8%B2%BB%EF%BC%9A6%2C000%E5%86%86%EF%BC%8F%E6%B6%88%E8%B2%BB%E7%A8%8E%EF%BC%9A6%2C200%E5%86%86%EF%BC%8F%E8%AB%8B%E6%B1%82%E9%A1%8D%EF%BC%9A68%2C200%E5%86%86" TargetMode="External" Id="rId159" /><Relationship Type="http://schemas.openxmlformats.org/officeDocument/2006/relationships/hyperlink" Target="https://mail.google.com/mail/?view=cm&amp;fs=1&amp;to=seito160%40example.com&amp;su=%E5%8A%A0%E8%97%A4%E6%B9%8A%E6%A7%98%202026%E5%B9%B48%E6%9C%88%E5%88%86%E8%AB%8B%E6%B1%82%E3%81%AE%E3%81%8A%E7%9F%A5%E3%82%89%E3%81%9B&amp;body=%E6%95%99%E5%AE%A4%EF%BC%9A%E8%A5%BF%E6%A0%A1%EF%BC%8F%E3%82%B3%E3%83%BC%E3%82%B9%EF%BC%9A%E5%80%8B%E5%88%A5%E6%8C%87%E5%B0%8E%EF%BC%8F%E3%82%B3%E3%83%9E%E6%95%B0%EF%BC%9A4%E3%82%B3%E3%83%9E%EF%BC%8F%E6%8E%88%E6%A5%AD%E6%96%99%EF%BC%9A14%2C000%E5%86%86%EF%BC%8F%E6%95%99%E6%9D%90%E8%B2%BB%EF%BC%9A6%2C000%E5%86%86%EF%BC%8F%E6%B6%88%E8%B2%BB%E7%A8%8E%EF%BC%9A2%2C000%E5%86%86%EF%BC%8F%E8%AB%8B%E6%B1%82%E9%A1%8D%EF%BC%9A22%2C000%E5%86%86" TargetMode="External" Id="rId160" /><Relationship Type="http://schemas.openxmlformats.org/officeDocument/2006/relationships/hyperlink" Target="https://mail.google.com/mail/?view=cm&amp;fs=1&amp;to=seito161%40example.com&amp;su=%E6%9D%BE%E6%9C%AC%E7%B5%90%E7%BF%94%E6%A7%98%202026%E5%B9%B48%E6%9C%88%E5%88%86%E8%AB%8B%E6%B1%82%E3%81%AE%E3%81%8A%E7%9F%A5%E3%82%89%E3%81%9B&amp;body=%E6%95%99%E5%AE%A4%EF%BC%9A%E8%A5%BF%E6%A0%A1%EF%BC%8F%E3%82%B3%E3%83%BC%E3%82%B9%EF%BC%9A%E6%98%A0%E5%83%8F%E6%8E%88%E6%A5%AD%EF%BC%8F%E3%82%B3%E3%83%9E%E6%95%B0%EF%BC%9A12%E3%82%B3%E3%83%9E%EF%BC%8F%E6%8E%88%E6%A5%AD%E6%96%99%EF%BC%9A25%2C200%E5%86%86%EF%BC%8F%E6%95%99%E6%9D%90%E8%B2%BB%EF%BC%9A3%2C000%E5%86%86%EF%BC%8F%E6%B6%88%E8%B2%BB%E7%A8%8E%EF%BC%9A2%2C820%E5%86%86%EF%BC%8F%E8%AB%8B%E6%B1%82%E9%A1%8D%EF%BC%9A31%2C020%E5%86%86" TargetMode="External" Id="rId161" /><Relationship Type="http://schemas.openxmlformats.org/officeDocument/2006/relationships/hyperlink" Target="https://mail.google.com/mail/?view=cm&amp;fs=1&amp;to=seito162%40example.com&amp;su=%E5%B1%B1%E5%B4%8E%E7%BE%8E%E5%92%B2%E6%A7%98%202026%E5%B9%B48%E6%9C%88%E5%88%86%E8%AB%8B%E6%B1%82%E3%81%AE%E3%81%8A%E7%9F%A5%E3%82%89%E3%81%9B&amp;body=%E6%95%99%E5%AE%A4%EF%BC%9A%E8%A5%BF%E6%A0%A1%EF%BC%8F%E3%82%B3%E3%83%BC%E3%82%B9%EF%BC%9A%E9%9B%86%E5%9B%A3%E6%8E%88%E6%A5%AD%EF%BC%8F%E3%82%B3%E3%83%9E%E6%95%B0%EF%BC%9A4%E3%82%B3%E3%83%9E%EF%BC%8F%E6%8E%88%E6%A5%AD%E6%96%99%EF%BC%9A10%2C000%E5%86%86%EF%BC%8F%E6%95%99%E6%9D%90%E8%B2%BB%EF%BC%9A4%2C500%E5%86%86%EF%BC%8F%E6%B6%88%E8%B2%BB%E7%A8%8E%EF%BC%9A1%2C450%E5%86%86%EF%BC%8F%E8%AB%8B%E6%B1%82%E9%A1%8D%EF%BC%9A15%2C950%E5%86%86" TargetMode="External" Id="rId162" /><Relationship Type="http://schemas.openxmlformats.org/officeDocument/2006/relationships/hyperlink" Target="https://mail.google.com/mail/?view=cm&amp;fs=1&amp;to=seito163%40example.com&amp;su=%E5%B1%B1%E5%8F%A3%E5%A4%A7%E7%BF%94%E6%A7%98%202026%E5%B9%B48%E6%9C%88%E5%88%86%E8%AB%8B%E6%B1%82%E3%81%AE%E3%81%8A%E7%9F%A5%E3%82%89%E3%81%9B&amp;body=%E6%95%99%E5%AE%A4%EF%BC%9A%E8%A5%BF%E6%A0%A1%EF%BC%8F%E3%82%B3%E3%83%BC%E3%82%B9%EF%BC%9A%E9%9B%86%E5%9B%A3%E6%8E%88%E6%A5%AD%EF%BC%8F%E3%82%B3%E3%83%9E%E6%95%B0%EF%BC%9A20%E3%82%B3%E3%83%9E%EF%BC%8F%E6%8E%88%E6%A5%AD%E6%96%99%EF%BC%9A50%2C000%E5%86%86%EF%BC%8F%E6%95%99%E6%9D%90%E8%B2%BB%EF%BC%9A4%2C500%E5%86%86%EF%BC%8F%E6%B6%88%E8%B2%BB%E7%A8%8E%EF%BC%9A5%2C450%E5%86%86%EF%BC%8F%E8%AB%8B%E6%B1%82%E9%A1%8D%EF%BC%9A59%2C950%E5%86%86" TargetMode="External" Id="rId163" /><Relationship Type="http://schemas.openxmlformats.org/officeDocument/2006/relationships/hyperlink" Target="https://mail.google.com/mail/?view=cm&amp;fs=1&amp;to=seito164%40example.com&amp;su=%E9%88%B4%E6%9C%A8%E9%81%A5%E6%A7%98%202026%E5%B9%B48%E6%9C%88%E5%88%86%E8%AB%8B%E6%B1%82%E3%81%AE%E3%81%8A%E7%9F%A5%E3%82%89%E3%81%9B&amp;body=%E6%95%99%E5%AE%A4%EF%BC%9A%E8%A5%BF%E6%A0%A1%EF%BC%8F%E3%82%B3%E3%83%BC%E3%82%B9%EF%BC%9A%E5%80%8B%E5%88%A5%E6%8C%87%E5%B0%8E%EF%BC%8F%E3%82%B3%E3%83%9E%E6%95%B0%EF%BC%9A16%E3%82%B3%E3%83%9E%EF%BC%8F%E6%8E%88%E6%A5%AD%E6%96%99%EF%BC%9A56%2C000%E5%86%86%EF%BC%8F%E6%95%99%E6%9D%90%E8%B2%BB%EF%BC%9A6%2C000%E5%86%86%EF%BC%8F%E6%B6%88%E8%B2%BB%E7%A8%8E%EF%BC%9A6%2C200%E5%86%86%EF%BC%8F%E8%AB%8B%E6%B1%82%E9%A1%8D%EF%BC%9A68%2C200%E5%86%86" TargetMode="External" Id="rId164" /><Relationship Type="http://schemas.openxmlformats.org/officeDocument/2006/relationships/hyperlink" Target="https://mail.google.com/mail/?view=cm&amp;fs=1&amp;to=seito165%40example.com&amp;su=%E5%B0%8F%E9%87%8E%E6%9C%9D%E9%99%BD%E6%A7%98%202026%E5%B9%B48%E6%9C%88%E5%88%86%E8%AB%8B%E6%B1%82%E3%81%AE%E3%81%8A%E7%9F%A5%E3%82%89%E3%81%9B&amp;body=%E6%95%99%E5%AE%A4%EF%BC%9A%E8%A5%BF%E6%A0%A1%EF%BC%8F%E3%82%B3%E3%83%BC%E3%82%B9%EF%BC%9A%E6%98%A0%E5%83%8F%E6%8E%88%E6%A5%AD%EF%BC%8F%E3%82%B3%E3%83%9E%E6%95%B0%EF%BC%9A12%E3%82%B3%E3%83%9E%EF%BC%8F%E6%8E%88%E6%A5%AD%E6%96%99%EF%BC%9A25%2C200%E5%86%86%EF%BC%8F%E6%95%99%E6%9D%90%E8%B2%BB%EF%BC%9A3%2C000%E5%86%86%EF%BC%8F%E6%B6%88%E8%B2%BB%E7%A8%8E%EF%BC%9A2%2C820%E5%86%86%EF%BC%8F%E8%AB%8B%E6%B1%82%E9%A1%8D%EF%BC%9A31%2C020%E5%86%86" TargetMode="External" Id="rId165" /><Relationship Type="http://schemas.openxmlformats.org/officeDocument/2006/relationships/hyperlink" Target="https://mail.google.com/mail/?view=cm&amp;fs=1&amp;to=seito166%40example.com&amp;su=%E5%B1%B1%E5%B4%8E%E7%B4%AC%E6%A7%98%202026%E5%B9%B48%E6%9C%88%E5%88%86%E8%AB%8B%E6%B1%82%E3%81%AE%E3%81%8A%E7%9F%A5%E3%82%89%E3%81%9B&amp;body=%E6%95%99%E5%AE%A4%EF%BC%9A%E8%A5%BF%E6%A0%A1%EF%BC%8F%E3%82%B3%E3%83%BC%E3%82%B9%EF%BC%9A%E6%98%A0%E5%83%8F%E6%8E%88%E6%A5%AD%EF%BC%8F%E3%82%B3%E3%83%9E%E6%95%B0%EF%BC%9A16%E3%82%B3%E3%83%9E%EF%BC%8F%E6%8E%88%E6%A5%AD%E6%96%99%EF%BC%9A33%2C600%E5%86%86%EF%BC%8F%E6%95%99%E6%9D%90%E8%B2%BB%EF%BC%9A3%2C000%E5%86%86%EF%BC%8F%E6%B6%88%E8%B2%BB%E7%A8%8E%EF%BC%9A3%2C660%E5%86%86%EF%BC%8F%E8%AB%8B%E6%B1%82%E9%A1%8D%EF%BC%9A40%2C260%E5%86%86" TargetMode="External" Id="rId166" /><Relationship Type="http://schemas.openxmlformats.org/officeDocument/2006/relationships/hyperlink" Target="https://mail.google.com/mail/?view=cm&amp;fs=1&amp;to=seito167%40example.com&amp;su=%E5%B2%A1%E7%94%B0%E8%91%B5%E6%A7%98%202026%E5%B9%B48%E6%9C%88%E5%88%86%E8%AB%8B%E6%B1%82%E3%81%AE%E3%81%8A%E7%9F%A5%E3%82%89%E3%81%9B&amp;body=%E6%95%99%E5%AE%A4%EF%BC%9A%E8%A5%BF%E6%A0%A1%EF%BC%8F%E3%82%B3%E3%83%BC%E3%82%B9%EF%BC%9A%E5%80%8B%E5%88%A5%E6%8C%87%E5%B0%8E%EF%BC%8F%E3%82%B3%E3%83%9E%E6%95%B0%EF%BC%9A8%E3%82%B3%E3%83%9E%EF%BC%8F%E6%8E%88%E6%A5%AD%E6%96%99%EF%BC%9A28%2C000%E5%86%86%EF%BC%8F%E6%95%99%E6%9D%90%E8%B2%BB%EF%BC%9A6%2C000%E5%86%86%EF%BC%8F%E6%B6%88%E8%B2%BB%E7%A8%8E%EF%BC%9A3%2C400%E5%86%86%EF%BC%8F%E8%AB%8B%E6%B1%82%E9%A1%8D%EF%BC%9A37%2C400%E5%86%86" TargetMode="External" Id="rId167" /><Relationship Type="http://schemas.openxmlformats.org/officeDocument/2006/relationships/hyperlink" Target="https://mail.google.com/mail/?view=cm&amp;fs=1&amp;to=seito168%40example.com&amp;su=%E7%94%B0%E6%9D%91%E7%90%B4%E9%9F%B3%E6%A7%98%202026%E5%B9%B48%E6%9C%88%E5%88%86%E8%AB%8B%E6%B1%82%E3%81%AE%E3%81%8A%E7%9F%A5%E3%82%89%E3%81%9B&amp;body=%E6%95%99%E5%AE%A4%EF%BC%9A%E8%A5%BF%E6%A0%A1%EF%BC%8F%E3%82%B3%E3%83%BC%E3%82%B9%EF%BC%9A%E5%80%8B%E5%88%A5%E6%8C%87%E5%B0%8E%EF%BC%8F%E3%82%B3%E3%83%9E%E6%95%B0%EF%BC%9A16%E3%82%B3%E3%83%9E%EF%BC%8F%E6%8E%88%E6%A5%AD%E6%96%99%EF%BC%9A56%2C000%E5%86%86%EF%BC%8F%E6%95%99%E6%9D%90%E8%B2%BB%EF%BC%9A6%2C000%E5%86%86%EF%BC%8F%E6%B6%88%E8%B2%BB%E7%A8%8E%EF%BC%9A6%2C200%E5%86%86%EF%BC%8F%E8%AB%8B%E6%B1%82%E9%A1%8D%EF%BC%9A68%2C200%E5%86%86" TargetMode="External" Id="rId168" /><Relationship Type="http://schemas.openxmlformats.org/officeDocument/2006/relationships/hyperlink" Target="https://mail.google.com/mail/?view=cm&amp;fs=1&amp;to=seito169%40example.com&amp;su=%E7%AB%B9%E5%86%85%E6%A5%93%E6%A7%98%202026%E5%B9%B48%E6%9C%88%E5%88%86%E8%AB%8B%E6%B1%82%E3%81%AE%E3%81%8A%E7%9F%A5%E3%82%89%E3%81%9B&amp;body=%E6%95%99%E5%AE%A4%EF%BC%9A%E8%A5%BF%E6%A0%A1%EF%BC%8F%E3%82%B3%E3%83%BC%E3%82%B9%EF%BC%9A%E9%9B%86%E5%9B%A3%E6%8E%88%E6%A5%AD%EF%BC%8F%E3%82%B3%E3%83%9E%E6%95%B0%EF%BC%9A16%E3%82%B3%E3%83%9E%EF%BC%8F%E6%8E%88%E6%A5%AD%E6%96%99%EF%BC%9A40%2C000%E5%86%86%EF%BC%8F%E6%95%99%E6%9D%90%E8%B2%BB%EF%BC%9A4%2C500%E5%86%86%EF%BC%8F%E6%B6%88%E8%B2%BB%E7%A8%8E%EF%BC%9A4%2C450%E5%86%86%EF%BC%8F%E8%AB%8B%E6%B1%82%E9%A1%8D%EF%BC%9A48%2C950%E5%86%86" TargetMode="External" Id="rId169" /><Relationship Type="http://schemas.openxmlformats.org/officeDocument/2006/relationships/hyperlink" Target="https://mail.google.com/mail/?view=cm&amp;fs=1&amp;to=seito170%40example.com&amp;su=%E8%97%A4%E4%BA%95%E9%81%A5%E6%A7%98%202026%E5%B9%B48%E6%9C%88%E5%88%86%E8%AB%8B%E6%B1%82%E3%81%AE%E3%81%8A%E7%9F%A5%E3%82%89%E3%81%9B&amp;body=%E6%95%99%E5%AE%A4%EF%BC%9A%E8%A5%BF%E6%A0%A1%EF%BC%8F%E3%82%B3%E3%83%BC%E3%82%B9%EF%BC%9A%E6%98%A0%E5%83%8F%E6%8E%88%E6%A5%AD%EF%BC%8F%E3%82%B3%E3%83%9E%E6%95%B0%EF%BC%9A8%E3%82%B3%E3%83%9E%EF%BC%8F%E6%8E%88%E6%A5%AD%E6%96%99%EF%BC%9A16%2C800%E5%86%86%EF%BC%8F%E6%95%99%E6%9D%90%E8%B2%BB%EF%BC%9A3%2C000%E5%86%86%EF%BC%8F%E6%B6%88%E8%B2%BB%E7%A8%8E%EF%BC%9A1%2C980%E5%86%86%EF%BC%8F%E8%AB%8B%E6%B1%82%E9%A1%8D%EF%BC%9A21%2C780%E5%86%86" TargetMode="External" Id="rId170" /><Relationship Type="http://schemas.openxmlformats.org/officeDocument/2006/relationships/hyperlink" Target="https://mail.google.com/mail/?view=cm&amp;fs=1&amp;to=seito171%40example.com&amp;su=%E9%95%B7%E8%B0%B7%E5%B7%9D%E6%82%A0%E7%9C%9F%E6%A7%98%202026%E5%B9%B48%E6%9C%88%E5%88%86%E8%AB%8B%E6%B1%82%E3%81%AE%E3%81%8A%E7%9F%A5%E3%82%89%E3%81%9B&amp;body=%E6%95%99%E5%AE%A4%EF%BC%9A%E8%A5%BF%E6%A0%A1%EF%BC%8F%E3%82%B3%E3%83%BC%E3%82%B9%EF%BC%9A%E5%80%8B%E5%88%A5%E6%8C%87%E5%B0%8ES%EF%BC%8F%E3%82%B3%E3%83%9E%E6%95%B0%EF%BC%9A8%E3%82%B3%E3%83%9E%EF%BC%8F%E6%8E%88%E6%A5%AD%E6%96%99%EF%BC%9A32%2C000%E5%86%86%EF%BC%8F%E6%95%99%E6%9D%90%E8%B2%BB%EF%BC%9A7%2C000%E5%86%86%EF%BC%8F%E6%B6%88%E8%B2%BB%E7%A8%8E%EF%BC%9A3%2C900%E5%86%86%EF%BC%8F%E8%AB%8B%E6%B1%82%E9%A1%8D%EF%BC%9A42%2C900%E5%86%86" TargetMode="External" Id="rId171" /><Relationship Type="http://schemas.openxmlformats.org/officeDocument/2006/relationships/hyperlink" Target="https://mail.google.com/mail/?view=cm&amp;fs=1&amp;to=seito172%40example.com&amp;su=%E6%9E%97%E6%B5%B7%E6%96%97%E6%A7%98%202026%E5%B9%B48%E6%9C%88%E5%88%86%E8%AB%8B%E6%B1%82%E3%81%AE%E3%81%8A%E7%9F%A5%E3%82%89%E3%81%9B&amp;body=%E6%95%99%E5%AE%A4%EF%BC%9A%E8%A5%BF%E6%A0%A1%EF%BC%8F%E3%82%B3%E3%83%BC%E3%82%B9%EF%BC%9A%E9%9B%86%E5%9B%A3%E6%8E%88%E6%A5%AD%EF%BC%8F%E3%82%B3%E3%83%9E%E6%95%B0%EF%BC%9A4%E3%82%B3%E3%83%9E%EF%BC%8F%E6%8E%88%E6%A5%AD%E6%96%99%EF%BC%9A10%2C000%E5%86%86%EF%BC%8F%E6%95%99%E6%9D%90%E8%B2%BB%EF%BC%9A4%2C500%E5%86%86%EF%BC%8F%E6%B6%88%E8%B2%BB%E7%A8%8E%EF%BC%9A1%2C450%E5%86%86%EF%BC%8F%E8%AB%8B%E6%B1%82%E9%A1%8D%EF%BC%9A15%2C950%E5%86%86" TargetMode="External" Id="rId172" /><Relationship Type="http://schemas.openxmlformats.org/officeDocument/2006/relationships/hyperlink" Target="https://mail.google.com/mail/?view=cm&amp;fs=1&amp;to=seito173%40example.com&amp;su=%E4%BC%8A%E8%97%A4%E8%90%8C%E6%A7%98%202026%E5%B9%B48%E6%9C%88%E5%88%86%E8%AB%8B%E6%B1%82%E3%81%AE%E3%81%8A%E7%9F%A5%E3%82%89%E3%81%9B&amp;body=%E6%95%99%E5%AE%A4%EF%BC%9A%E8%A5%BF%E6%A0%A1%EF%BC%8F%E3%82%B3%E3%83%BC%E3%82%B9%EF%BC%9A%E5%80%8B%E5%88%A5%E6%8C%87%E5%B0%8ES%EF%BC%8F%E3%82%B3%E3%83%9E%E6%95%B0%EF%BC%9A20%E3%82%B3%E3%83%9E%EF%BC%8F%E6%8E%88%E6%A5%AD%E6%96%99%EF%BC%9A80%2C000%E5%86%86%EF%BC%8F%E6%95%99%E6%9D%90%E8%B2%BB%EF%BC%9A7%2C000%E5%86%86%EF%BC%8F%E6%B6%88%E8%B2%BB%E7%A8%8E%EF%BC%9A8%2C700%E5%86%86%EF%BC%8F%E8%AB%8B%E6%B1%82%E9%A1%8D%EF%BC%9A95%2C700%E5%86%86" TargetMode="External" Id="rId173" /><Relationship Type="http://schemas.openxmlformats.org/officeDocument/2006/relationships/hyperlink" Target="https://mail.google.com/mail/?view=cm&amp;fs=1&amp;to=seito174%40example.com&amp;su=%E8%BF%91%E8%97%A4%E8%93%AE%E6%A7%98%202026%E5%B9%B48%E6%9C%88%E5%88%86%E8%AB%8B%E6%B1%82%E3%81%AE%E3%81%8A%E7%9F%A5%E3%82%89%E3%81%9B&amp;body=%E6%95%99%E5%AE%A4%EF%BC%9A%E8%A5%BF%E6%A0%A1%EF%BC%8F%E3%82%B3%E3%83%BC%E3%82%B9%EF%BC%9A%E5%80%8B%E5%88%A5%E6%8C%87%E5%B0%8ES%EF%BC%8F%E3%82%B3%E3%83%9E%E6%95%B0%EF%BC%9A8%E3%82%B3%E3%83%9E%EF%BC%8F%E6%8E%88%E6%A5%AD%E6%96%99%EF%BC%9A32%2C000%E5%86%86%EF%BC%8F%E6%95%99%E6%9D%90%E8%B2%BB%EF%BC%9A7%2C000%E5%86%86%EF%BC%8F%E6%B6%88%E8%B2%BB%E7%A8%8E%EF%BC%9A3%2C900%E5%86%86%EF%BC%8F%E8%AB%8B%E6%B1%82%E9%A1%8D%EF%BC%9A42%2C900%E5%86%86" TargetMode="External" Id="rId174" /><Relationship Type="http://schemas.openxmlformats.org/officeDocument/2006/relationships/hyperlink" Target="https://mail.google.com/mail/?view=cm&amp;fs=1&amp;to=seito175%40example.com&amp;su=%E4%BA%95%E4%B8%8A%E5%B0%8A%E6%A7%98%202026%E5%B9%B48%E6%9C%88%E5%88%86%E8%AB%8B%E6%B1%82%E3%81%AE%E3%81%8A%E7%9F%A5%E3%82%89%E3%81%9B&amp;body=%E6%95%99%E5%AE%A4%EF%BC%9A%E8%A5%BF%E6%A0%A1%EF%BC%8F%E3%82%B3%E3%83%BC%E3%82%B9%EF%BC%9A%E5%80%8B%E5%88%A5%E6%8C%87%E5%B0%8E%EF%BC%8F%E3%82%B3%E3%83%9E%E6%95%B0%EF%BC%9A4%E3%82%B3%E3%83%9E%EF%BC%8F%E6%8E%88%E6%A5%AD%E6%96%99%EF%BC%9A14%2C000%E5%86%86%EF%BC%8F%E6%95%99%E6%9D%90%E8%B2%BB%EF%BC%9A6%2C000%E5%86%86%EF%BC%8F%E6%B6%88%E8%B2%BB%E7%A8%8E%EF%BC%9A2%2C000%E5%86%86%EF%BC%8F%E8%AB%8B%E6%B1%82%E9%A1%8D%EF%BC%9A22%2C000%E5%86%86" TargetMode="External" Id="rId175" /><Relationship Type="http://schemas.openxmlformats.org/officeDocument/2006/relationships/hyperlink" Target="https://mail.google.com/mail/?view=cm&amp;fs=1&amp;to=seito176%40example.com&amp;su=%E8%A5%BF%E6%9D%91%E5%B0%8A%E6%A7%98%202026%E5%B9%B48%E6%9C%88%E5%88%86%E8%AB%8B%E6%B1%82%E3%81%AE%E3%81%8A%E7%9F%A5%E3%82%89%E3%81%9B&amp;body=%E6%95%99%E5%AE%A4%EF%BC%9A%E8%A5%BF%E6%A0%A1%EF%BC%8F%E3%82%B3%E3%83%BC%E3%82%B9%EF%BC%9A%E9%9B%86%E5%9B%A3%E6%8E%88%E6%A5%AD%EF%BC%8F%E3%82%B3%E3%83%9E%E6%95%B0%EF%BC%9A12%E3%82%B3%E3%83%9E%EF%BC%8F%E6%8E%88%E6%A5%AD%E6%96%99%EF%BC%9A30%2C000%E5%86%86%EF%BC%8F%E6%95%99%E6%9D%90%E8%B2%BB%EF%BC%9A4%2C500%E5%86%86%EF%BC%8F%E6%B6%88%E8%B2%BB%E7%A8%8E%EF%BC%9A3%2C450%E5%86%86%EF%BC%8F%E8%AB%8B%E6%B1%82%E9%A1%8D%EF%BC%9A37%2C950%E5%86%86" TargetMode="External" Id="rId176" /><Relationship Type="http://schemas.openxmlformats.org/officeDocument/2006/relationships/hyperlink" Target="https://mail.google.com/mail/?view=cm&amp;fs=1&amp;to=seito177%40example.com&amp;su=%E8%97%A4%E4%BA%95%E7%BE%8E%E6%A1%9C%E6%A7%98%202026%E5%B9%B48%E6%9C%88%E5%88%86%E8%AB%8B%E6%B1%82%E3%81%AE%E3%81%8A%E7%9F%A5%E3%82%89%E3%81%9B&amp;body=%E6%95%99%E5%AE%A4%EF%BC%9A%E8%A5%BF%E6%A0%A1%EF%BC%8F%E3%82%B3%E3%83%BC%E3%82%B9%EF%BC%9A%E5%80%8B%E5%88%A5%E6%8C%87%E5%B0%8ES%EF%BC%8F%E3%82%B3%E3%83%9E%E6%95%B0%EF%BC%9A12%E3%82%B3%E3%83%9E%EF%BC%8F%E6%8E%88%E6%A5%AD%E6%96%99%EF%BC%9A48%2C000%E5%86%86%EF%BC%8F%E6%95%99%E6%9D%90%E8%B2%BB%EF%BC%9A7%2C000%E5%86%86%EF%BC%8F%E6%B6%88%E8%B2%BB%E7%A8%8E%EF%BC%9A5%2C500%E5%86%86%EF%BC%8F%E8%AB%8B%E6%B1%82%E9%A1%8D%EF%BC%9A60%2C500%E5%86%86" TargetMode="External" Id="rId177" /><Relationship Type="http://schemas.openxmlformats.org/officeDocument/2006/relationships/hyperlink" Target="https://mail.google.com/mail/?view=cm&amp;fs=1&amp;to=seito178%40example.com&amp;su=%E5%B1%B1%E5%8F%A3%E7%BE%8E%E6%A1%9C%E6%A7%98%202026%E5%B9%B48%E6%9C%88%E5%88%86%E8%AB%8B%E6%B1%82%E3%81%AE%E3%81%8A%E7%9F%A5%E3%82%89%E3%81%9B&amp;body=%E6%95%99%E5%AE%A4%EF%BC%9A%E8%A5%BF%E6%A0%A1%EF%BC%8F%E3%82%B3%E3%83%BC%E3%82%B9%EF%BC%9A%E6%98%A0%E5%83%8F%E6%8E%88%E6%A5%AD%EF%BC%8F%E3%82%B3%E3%83%9E%E6%95%B0%EF%BC%9A12%E3%82%B3%E3%83%9E%EF%BC%8F%E6%8E%88%E6%A5%AD%E6%96%99%EF%BC%9A25%2C200%E5%86%86%EF%BC%8F%E6%95%99%E6%9D%90%E8%B2%BB%EF%BC%9A3%2C000%E5%86%86%EF%BC%8F%E6%B6%88%E8%B2%BB%E7%A8%8E%EF%BC%9A2%2C820%E5%86%86%EF%BC%8F%E8%AB%8B%E6%B1%82%E9%A1%8D%EF%BC%9A31%2C020%E5%86%86" TargetMode="External" Id="rId178" /><Relationship Type="http://schemas.openxmlformats.org/officeDocument/2006/relationships/hyperlink" Target="https://mail.google.com/mail/?view=cm&amp;fs=1&amp;to=seito179%40example.com&amp;su=%E7%AB%B9%E5%86%85%E8%8A%B1%E9%9F%B3%E6%A7%98%202026%E5%B9%B48%E6%9C%88%E5%88%86%E8%AB%8B%E6%B1%82%E3%81%AE%E3%81%8A%E7%9F%A5%E3%82%89%E3%81%9B&amp;body=%E6%95%99%E5%AE%A4%EF%BC%9A%E8%A5%BF%E6%A0%A1%EF%BC%8F%E3%82%B3%E3%83%BC%E3%82%B9%EF%BC%9A%E5%80%8B%E5%88%A5%E6%8C%87%E5%B0%8ES%EF%BC%8F%E3%82%B3%E3%83%9E%E6%95%B0%EF%BC%9A20%E3%82%B3%E3%83%9E%EF%BC%8F%E6%8E%88%E6%A5%AD%E6%96%99%EF%BC%9A80%2C000%E5%86%86%EF%BC%8F%E6%95%99%E6%9D%90%E8%B2%BB%EF%BC%9A7%2C000%E5%86%86%EF%BC%8F%E6%B6%88%E8%B2%BB%E7%A8%8E%EF%BC%9A8%2C700%E5%86%86%EF%BC%8F%E8%AB%8B%E6%B1%82%E9%A1%8D%EF%BC%9A95%2C700%E5%86%86" TargetMode="External" Id="rId179" /><Relationship Type="http://schemas.openxmlformats.org/officeDocument/2006/relationships/hyperlink" Target="https://mail.google.com/mail/?view=cm&amp;fs=1&amp;to=seito180%40example.com&amp;su=%E5%89%8D%E7%94%B0%E8%91%B5%E6%A7%98%202026%E5%B9%B48%E6%9C%88%E5%88%86%E8%AB%8B%E6%B1%82%E3%81%AE%E3%81%8A%E7%9F%A5%E3%82%89%E3%81%9B&amp;body=%E6%95%99%E5%AE%A4%EF%BC%9A%E8%A5%BF%E6%A0%A1%EF%BC%8F%E3%82%B3%E3%83%BC%E3%82%B9%EF%BC%9A%E5%80%8B%E5%88%A5%E6%8C%87%E5%B0%8E%EF%BC%8F%E3%82%B3%E3%83%9E%E6%95%B0%EF%BC%9A12%E3%82%B3%E3%83%9E%EF%BC%8F%E6%8E%88%E6%A5%AD%E6%96%99%EF%BC%9A42%2C000%E5%86%86%EF%BC%8F%E6%95%99%E6%9D%90%E8%B2%BB%EF%BC%9A6%2C000%E5%86%86%EF%BC%8F%E6%B6%88%E8%B2%BB%E7%A8%8E%EF%BC%9A4%2C800%E5%86%86%EF%BC%8F%E8%AB%8B%E6%B1%82%E9%A1%8D%EF%BC%9A52%2C800%E5%86%86" TargetMode="External" Id="rId180" /><Relationship Type="http://schemas.openxmlformats.org/officeDocument/2006/relationships/table" Target="/xl/tables/table2.xml" Id="rId18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fitToPage="1"/>
  </sheetPr>
  <dimension ref="A1:P39"/>
  <sheetViews>
    <sheetView showGridLines="0" workbookViewId="0">
      <selection activeCell="A1" sqref="A1"/>
    </sheetView>
  </sheetViews>
  <sheetFormatPr baseColWidth="8" defaultRowHeight="15"/>
  <cols>
    <col width="27" customWidth="1" min="1" max="1"/>
    <col width="3" customWidth="1" min="2" max="2"/>
    <col width="14" customWidth="1" min="3" max="3"/>
    <col width="14" customWidth="1" min="4" max="4"/>
    <col width="14" customWidth="1" min="5" max="5"/>
    <col width="14" customWidth="1" min="6" max="6"/>
    <col width="4" customWidth="1" min="7" max="7"/>
    <col width="22" customWidth="1" min="8" max="8"/>
    <col width="2" customWidth="1" min="9" max="9"/>
    <col width="16" customWidth="1" min="10" max="10"/>
    <col width="16" customWidth="1" min="11" max="11"/>
    <col width="16" customWidth="1" min="12" max="12"/>
    <col width="3" customWidth="1" min="13" max="13"/>
    <col width="20" customWidth="1" min="14" max="14"/>
    <col width="12" customWidth="1" min="15" max="15"/>
    <col width="12" customWidth="1" min="16" max="16"/>
  </cols>
  <sheetData>
    <row r="1">
      <c r="A1" s="1" t="inlineStr">
        <is>
          <t>請求書</t>
        </is>
      </c>
      <c r="D1" s="2" t="inlineStr">
        <is>
          <t>発行日：</t>
        </is>
      </c>
      <c r="E1" s="3">
        <f>TODAY()</f>
        <v/>
      </c>
      <c r="H1" s="4" t="inlineStr">
        <is>
          <t>🔧 操作パネル（この部分はPDF・印刷には含まれません）</t>
        </is>
      </c>
      <c r="N1" s="5" t="inlineStr">
        <is>
          <t>🔍 生徒を探すときは</t>
        </is>
      </c>
    </row>
    <row r="2">
      <c r="A2" s="6" t="inlineStr">
        <is>
          <t>さくら学習塾　2026年8月分請求書</t>
        </is>
      </c>
      <c r="D2" s="2" t="inlineStr">
        <is>
          <t>請求書No：</t>
        </is>
      </c>
      <c r="E2" s="7">
        <f>IFERROR(INDEX(SeikyuData[No],MATCH($J$6,SeikyuData[No],0)),"")</f>
        <v/>
      </c>
      <c r="H2" s="8" t="inlineStr">
        <is>
          <t>🟨 黄色いセルが入力欄です</t>
        </is>
      </c>
      <c r="N2" s="9" t="inlineStr">
        <is>
          <t>🔗 一覧をWebで検索して見る</t>
        </is>
      </c>
    </row>
    <row r="3">
      <c r="H3" s="10" t="inlineStr">
        <is>
          <t>✅ クリックテスト：Gmailを開く（動作確認用）</t>
        </is>
      </c>
      <c r="N3" s="11" t="inlineStr">
        <is>
          <t>生徒名やNoで検索、教室で絞り込みができます（ブラウザで開きます）。</t>
        </is>
      </c>
    </row>
    <row r="4">
      <c r="A4" s="12">
        <f>IF($J$6="","（右の操作パネルでNoか生徒名を選択してください）",$J$7&amp;"　様")</f>
        <v/>
      </c>
      <c r="H4" s="13" t="inlineStr">
        <is>
          <t>① 生徒番号(No)で入力 ▶</t>
        </is>
      </c>
      <c r="J4" s="14" t="n"/>
      <c r="K4" s="15" t="n"/>
    </row>
    <row r="5">
      <c r="A5" s="16" t="inlineStr">
        <is>
          <t>下記の通りご請求申し上げます。</t>
        </is>
      </c>
      <c r="H5" s="13" t="inlineStr">
        <is>
          <t>② または生徒名で選択 ▶</t>
        </is>
      </c>
      <c r="J5" s="17" t="n"/>
      <c r="K5" s="18" t="n"/>
      <c r="L5" s="15" t="n"/>
      <c r="N5" s="5" t="inlineStr">
        <is>
          <t>🔧 週コマ数を変えるときは</t>
        </is>
      </c>
    </row>
    <row r="6" ht="20" customHeight="1">
      <c r="H6" s="13" t="inlineStr">
        <is>
          <t>選択中のNo</t>
        </is>
      </c>
      <c r="J6" s="19">
        <f>IF($J$4&lt;&gt;"",IF(COUNTIF(SeikyuData[No],$J$4)=0,"⚠ 該当するNoがありません",$J$4),IF($J$5&lt;&gt;"",VALUE(LEFT($J$5,FIND("：",$J$5)-1)),""))</f>
        <v/>
      </c>
      <c r="N6" s="20" t="inlineStr">
        <is>
          <t>📋 一覧表を開く
（週コマ数を編集）</t>
        </is>
      </c>
      <c r="O6" s="21" t="n"/>
      <c r="P6" s="22" t="n"/>
    </row>
    <row r="7" ht="20" customHeight="1">
      <c r="A7" s="23" t="inlineStr">
        <is>
          <t>ご請求内容</t>
        </is>
      </c>
      <c r="H7" s="13" t="inlineStr">
        <is>
          <t>選択中の生徒名</t>
        </is>
      </c>
      <c r="J7" s="19">
        <f>IFERROR(INDEX(SeikyuData[生徒名],MATCH($J$6,SeikyuData[No],0)),"")</f>
        <v/>
      </c>
      <c r="N7" s="24" t="n"/>
      <c r="O7" s="25" t="n"/>
      <c r="P7" s="26" t="n"/>
    </row>
    <row r="8">
      <c r="A8" s="27" t="inlineStr">
        <is>
          <t>教室</t>
        </is>
      </c>
      <c r="C8">
        <f>IFERROR(INDEX(SeikyuData[教室],MATCH($J$6,SeikyuData[No],0)),"")</f>
        <v/>
      </c>
      <c r="H8" s="23" t="inlineStr">
        <is>
          <t>メールで送る</t>
        </is>
      </c>
      <c r="N8" s="11" t="inlineStr">
        <is>
          <t>「月末請求一覧」タブに切り替わります。黄色いセル（週コマ数）に数字を入力してください。</t>
        </is>
      </c>
    </row>
    <row r="9">
      <c r="A9" s="27" t="inlineStr">
        <is>
          <t>学年</t>
        </is>
      </c>
      <c r="C9">
        <f>IFERROR(INDEX(SeikyuData[学年],MATCH($J$6,SeikyuData[No],0)),"")</f>
        <v/>
      </c>
      <c r="H9" t="inlineStr">
        <is>
          <t>宛先（保護者メール）</t>
        </is>
      </c>
      <c r="J9">
        <f>IFERROR(INDEX(SeikyuData[保護者メール],MATCH($J$6,SeikyuData[No],0)),"")</f>
        <v/>
      </c>
    </row>
    <row r="10">
      <c r="A10" s="27" t="inlineStr">
        <is>
          <t>コース</t>
        </is>
      </c>
      <c r="C10">
        <f>IFERROR(INDEX(SeikyuData[コース],MATCH($J$6,SeikyuData[No],0)),"")</f>
        <v/>
      </c>
      <c r="H10" t="inlineStr">
        <is>
          <t>件名</t>
        </is>
      </c>
      <c r="J10">
        <f>$J$7 &amp; "様 2026年8月分請求のお知らせ"</f>
        <v/>
      </c>
    </row>
    <row r="11">
      <c r="A11" s="27" t="inlineStr">
        <is>
          <t>1コマ単価</t>
        </is>
      </c>
      <c r="C11" s="28">
        <f>IFERROR(INDEX(SeikyuData[1コマ単価],MATCH($J$6,SeikyuData[No],0)),"")</f>
        <v/>
      </c>
      <c r="J11" s="9">
        <f>IF($J$6="","",HYPERLINK("https://mail.google.com/mail/?view=cm&amp;fs=1&amp;to=" &amp; _xlfn.ENCODEURL(IFERROR(INDEX(SeikyuData[保護者メール],MATCH($J$6,SeikyuData[No],0)),"")) &amp; "&amp;su=" &amp; _xlfn.ENCODEURL($J$7 &amp; "様 2026年8月分請求のお知らせ"),"📧 Gmail作成画面を開く（宛先・件名 入力済み）"))</f>
        <v/>
      </c>
    </row>
    <row r="12">
      <c r="A12" s="27" t="inlineStr">
        <is>
          <t>週コマ数</t>
        </is>
      </c>
      <c r="C12" s="29">
        <f>IFERROR(INDEX(SeikyuData[週コマ数],MATCH($J$6,SeikyuData[No],0)),"")</f>
        <v/>
      </c>
      <c r="J12" s="11" t="inlineStr">
        <is>
          <t>※このリンクは宛先・件名だけが入力された状態でGmailを開きます（本文まで入れるとURLが長くなりすぎてエラーになるため）。開いたら、下の「本文プレビュー」をコピーして本文欄に貼り付けてください。※Googleにログイン済みの状態でブラウザが開く必要があります。</t>
        </is>
      </c>
    </row>
    <row r="13">
      <c r="A13" s="27" t="inlineStr">
        <is>
          <t>コマ数（月間）</t>
        </is>
      </c>
      <c r="C13" s="29">
        <f>IFERROR(INDEX(SeikyuData[コマ数],MATCH($J$6,SeikyuData[No],0)),"")</f>
        <v/>
      </c>
    </row>
    <row r="14">
      <c r="A14" s="27" t="inlineStr">
        <is>
          <t>教材費</t>
        </is>
      </c>
      <c r="C14" s="28">
        <f>IFERROR(INDEX(SeikyuData[教材費],MATCH($J$6,SeikyuData[No],0)),"")</f>
        <v/>
      </c>
      <c r="H14" s="13" t="inlineStr">
        <is>
          <t>本文プレビュー（コピーも可）</t>
        </is>
      </c>
    </row>
    <row r="15">
      <c r="A15" s="27" t="inlineStr">
        <is>
          <t>授業料</t>
        </is>
      </c>
      <c r="C15" s="28">
        <f>IFERROR(INDEX(SeikyuData[授業料],MATCH($J$6,SeikyuData[No],0)),"")</f>
        <v/>
      </c>
      <c r="H15" s="30">
        <f>IF($J$6="","生徒名を選択すると本文が生成されます。",$J$7&amp;"様"&amp;CHAR(10)&amp;CHAR(10)&amp;"いつもお世話になっております。さくら学習塾です。"&amp;CHAR(10)&amp;"2026年8月分の請求内容は以下の通りです。"&amp;CHAR(10)&amp;CHAR(10)&amp;"教室：　"&amp;IFERROR(INDEX(SeikyuData[教室],MATCH($J$6,SeikyuData[No],0)),"")&amp;CHAR(10)&amp;"コース：　"&amp;IFERROR(INDEX(SeikyuData[コース],MATCH($J$6,SeikyuData[No],0)),"")&amp;CHAR(10)&amp;"コマ数：　"&amp;IFERROR(INDEX(SeikyuData[コマ数],MATCH($J$6,SeikyuData[No],0)),"")&amp;"コマ"&amp;CHAR(10)&amp;"授業料：　"&amp;TEXT(IFERROR(INDEX(SeikyuData[授業料],MATCH($J$6,SeikyuData[No],0)),""),"#,##0")&amp;"円"&amp;CHAR(10)&amp;"教材費：　"&amp;TEXT(IFERROR(INDEX(SeikyuData[教材費],MATCH($J$6,SeikyuData[No],0)),""),"#,##0")&amp;"円"&amp;CHAR(10)&amp;"消費税：　"&amp;TEXT(ROUND((IFERROR(INDEX(SeikyuData[授業料],MATCH($J$6,SeikyuData[No],0)),"")+IFERROR(INDEX(SeikyuData[教材費],MATCH($J$6,SeikyuData[No],0)),""))*0.1,0),"#,##0")&amp;"円"&amp;CHAR(10)&amp;"----------------"&amp;CHAR(10)&amp;"ご請求額：　"&amp;TEXT(IFERROR(INDEX(SeikyuData[請求額(税込)],MATCH($J$6,SeikyuData[No],0)),""),"#,##0")&amp;"円"&amp;CHAR(10)&amp;CHAR(10)&amp;"振込先：　〇〇銀行 〇〇支店　普通　1234567　口座名義：サクラガクシュウジュク"&amp;CHAR(10)&amp;"支払期日：　"&amp;TEXT(TODAY()+14,"yyyy/mm/dd")&amp;CHAR(10)&amp;CHAR(10)&amp;"お手数ですが、期日までにお振込みくださいますようお願いいたします。")</f>
        <v/>
      </c>
    </row>
    <row r="16">
      <c r="A16" s="27" t="inlineStr">
        <is>
          <t>消費税（授業料＋教材費の10%）</t>
        </is>
      </c>
      <c r="C16" s="28">
        <f>IFERROR(ROUND((INDEX(SeikyuData[授業料],MATCH($J$6,SeikyuData[No],0))+INDEX(SeikyuData[教材費],MATCH($J$6,SeikyuData[No],0)))*0.1,0),"")</f>
        <v/>
      </c>
    </row>
    <row r="17">
      <c r="A17" s="31" t="inlineStr">
        <is>
          <t>ご請求額（税込）</t>
        </is>
      </c>
      <c r="B17" s="32" t="n"/>
      <c r="C17" s="33">
        <f>IFERROR(INDEX(SeikyuData[請求額(税込)],MATCH($J$6,SeikyuData[No],0)),"")</f>
        <v/>
      </c>
      <c r="D17" s="32" t="n"/>
      <c r="E17" s="32" t="n"/>
      <c r="F17" s="32" t="n"/>
    </row>
    <row r="18"/>
    <row r="19">
      <c r="A19" s="34" t="inlineStr">
        <is>
          <t>振込先：</t>
        </is>
      </c>
      <c r="B19" s="16" t="inlineStr">
        <is>
          <t>〇〇銀行 〇〇支店　普通　1234567　口座名義：サクラガクシュウジュク</t>
        </is>
      </c>
    </row>
    <row r="20">
      <c r="A20" s="34" t="inlineStr">
        <is>
          <t>支払期日：</t>
        </is>
      </c>
      <c r="B20" s="35">
        <f>TODAY()+14</f>
        <v/>
      </c>
    </row>
    <row r="21">
      <c r="A21" s="16" t="inlineStr">
        <is>
          <t>お手数ですが、期日までにお振込みくださいますようお願いいたします。</t>
        </is>
      </c>
    </row>
    <row r="22"/>
    <row r="23">
      <c r="A23" s="16" t="inlineStr">
        <is>
          <t>以上</t>
        </is>
      </c>
      <c r="D23" s="2" t="inlineStr">
        <is>
          <t>発行者：</t>
        </is>
      </c>
      <c r="E23" t="inlineStr">
        <is>
          <t>さくら学習塾</t>
        </is>
      </c>
    </row>
    <row r="24"/>
    <row r="25"/>
    <row r="26"/>
    <row r="27"/>
    <row r="28"/>
    <row r="29"/>
    <row r="30"/>
    <row r="32">
      <c r="J32" s="36" t="inlineStr">
        <is>
          <t>📋 コース別 単価マスター</t>
        </is>
      </c>
    </row>
    <row r="33">
      <c r="J33" s="11" t="inlineStr">
        <is>
          <t>🟨 黄色いセル（1コマ単価・教材費）を直すと、一覧表の該当コースの生徒全員に自動反映されます。</t>
        </is>
      </c>
    </row>
    <row r="34"/>
    <row r="35">
      <c r="J35" t="inlineStr">
        <is>
          <t>コース</t>
        </is>
      </c>
      <c r="K35" t="inlineStr">
        <is>
          <t>1コマ単価</t>
        </is>
      </c>
      <c r="L35" t="inlineStr">
        <is>
          <t>教材費(標準)</t>
        </is>
      </c>
    </row>
    <row r="36">
      <c r="J36" t="inlineStr">
        <is>
          <t>個別指導S</t>
        </is>
      </c>
      <c r="K36" s="37" t="n">
        <v>4000</v>
      </c>
      <c r="L36" s="37" t="n">
        <v>7000</v>
      </c>
    </row>
    <row r="37">
      <c r="J37" t="inlineStr">
        <is>
          <t>個別指導</t>
        </is>
      </c>
      <c r="K37" s="37" t="n">
        <v>3500</v>
      </c>
      <c r="L37" s="37" t="n">
        <v>6000</v>
      </c>
    </row>
    <row r="38">
      <c r="J38" t="inlineStr">
        <is>
          <t>集団授業</t>
        </is>
      </c>
      <c r="K38" s="37" t="n">
        <v>2500</v>
      </c>
      <c r="L38" s="37" t="n">
        <v>4500</v>
      </c>
    </row>
    <row r="39">
      <c r="J39" t="inlineStr">
        <is>
          <t>映像授業</t>
        </is>
      </c>
      <c r="K39" s="37" t="n">
        <v>2100</v>
      </c>
      <c r="L39" s="37" t="n">
        <v>3000</v>
      </c>
    </row>
  </sheetData>
  <mergeCells count="38">
    <mergeCell ref="C16:E16"/>
    <mergeCell ref="N6:P7"/>
    <mergeCell ref="J6:L6"/>
    <mergeCell ref="N2:P2"/>
    <mergeCell ref="H15:L30"/>
    <mergeCell ref="H3:K3"/>
    <mergeCell ref="C9:E9"/>
    <mergeCell ref="N5:P5"/>
    <mergeCell ref="E23:F23"/>
    <mergeCell ref="H1:L1"/>
    <mergeCell ref="N1:P1"/>
    <mergeCell ref="A21:F21"/>
    <mergeCell ref="C12:E12"/>
    <mergeCell ref="J11:L11"/>
    <mergeCell ref="J33:L34"/>
    <mergeCell ref="J7:L7"/>
    <mergeCell ref="C11:E11"/>
    <mergeCell ref="J32:L32"/>
    <mergeCell ref="E1:F1"/>
    <mergeCell ref="A5:F5"/>
    <mergeCell ref="C8:E8"/>
    <mergeCell ref="C17:E17"/>
    <mergeCell ref="A4:F4"/>
    <mergeCell ref="J12:L12"/>
    <mergeCell ref="N3:P4"/>
    <mergeCell ref="J4:K4"/>
    <mergeCell ref="C13:E13"/>
    <mergeCell ref="E2:F2"/>
    <mergeCell ref="B19:F19"/>
    <mergeCell ref="N8:P9"/>
    <mergeCell ref="C15:E15"/>
    <mergeCell ref="J5:L5"/>
    <mergeCell ref="C14:E14"/>
    <mergeCell ref="J10:L10"/>
    <mergeCell ref="A1:C1"/>
    <mergeCell ref="B20:F20"/>
    <mergeCell ref="J9:L9"/>
    <mergeCell ref="C10:E10"/>
  </mergeCells>
  <dataValidations count="2">
    <dataValidation sqref="J4" showDropDown="0" showInputMessage="0" showErrorMessage="1" allowBlank="1" errorTitle="入力エラー" error="一覧表にあるNo（生徒番号）を入力してください。" type="whole" operator="between">
      <formula1>1</formula1>
      <formula2>=COUNTA('月末請求一覧'!$O$4:$O$183)</formula2>
    </dataValidation>
    <dataValidation sqref="J5" showDropDown="0" showInputMessage="0" showErrorMessage="1" allowBlank="1" errorTitle="入力エラー" error="一覧表にある「No：生徒名」から選択してください。" type="list">
      <formula1>='月末請求一覧'!$O$4:$O$183</formula1>
    </dataValidation>
  </dataValidations>
  <hyperlinks>
    <hyperlink xmlns:r="http://schemas.openxmlformats.org/officeDocument/2006/relationships" ref="N2" r:id="rId1"/>
    <hyperlink xmlns:r="http://schemas.openxmlformats.org/officeDocument/2006/relationships" ref="H3" r:id="rId2"/>
    <hyperlink xmlns:r="http://schemas.openxmlformats.org/officeDocument/2006/relationships" ref="N6" r:id="rId3"/>
  </hyperlinks>
  <pageMargins left="0.75" right="0.75" top="1" bottom="1" header="0.5" footer="0.5"/>
  <pageSetup orientation="portrait" fitToHeight="1" fitToWidth="1"/>
  <legacyDrawing xmlns:r="http://schemas.openxmlformats.org/officeDocument/2006/relationships" r:id="anysvml"/>
  <tableParts count="1">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O184"/>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8" customWidth="1" min="3" max="3"/>
    <col width="6" customWidth="1" min="4" max="4"/>
    <col width="12" customWidth="1" min="5" max="5"/>
    <col width="11" customWidth="1" min="6" max="6"/>
    <col width="9" customWidth="1" min="7" max="7"/>
    <col width="8" customWidth="1" min="8" max="8"/>
    <col width="10" customWidth="1" min="9" max="9"/>
    <col width="12" customWidth="1" min="10" max="10"/>
    <col width="14" customWidth="1" min="11" max="11"/>
    <col width="22" customWidth="1" min="12" max="12"/>
    <col width="16" customWidth="1" min="13" max="13"/>
    <col width="62" customWidth="1" min="14" max="14"/>
    <col width="20" customWidth="1" min="15" max="15"/>
  </cols>
  <sheetData>
    <row r="1" ht="22" customHeight="1">
      <c r="A1" s="31" t="inlineStr">
        <is>
          <t>合計金額（請求額の合計）</t>
        </is>
      </c>
      <c r="B1" s="38">
        <f>SUM(SeikyuData[請求額(税込)])</f>
        <v/>
      </c>
      <c r="E1" s="32" t="n"/>
      <c r="F1" s="32" t="n"/>
      <c r="G1" s="32" t="n"/>
      <c r="H1" s="32" t="n"/>
      <c r="I1" s="32" t="n"/>
      <c r="J1" s="32" t="n"/>
      <c r="K1" s="32" t="n"/>
      <c r="L1" s="32" t="n"/>
    </row>
    <row r="2" ht="18" customHeight="1">
      <c r="A2" s="39" t="inlineStr">
        <is>
          <t>🟨 黄色いセル（週コマ数）だけ入力してください。他の列は自動計算されるので触らなくてOKです。　📧 「Gmailを開く」で宛先・件名・請求内容まで入力済みのGmailを開けます（この内容はファイルを作った時点の金額で固定。週コマ数を変えたら一覧表.pyを再実行して作り直してください）。</t>
        </is>
      </c>
    </row>
    <row r="3">
      <c r="A3" s="40" t="inlineStr">
        <is>
          <t>No</t>
        </is>
      </c>
      <c r="B3" s="40" t="inlineStr">
        <is>
          <t>生徒名</t>
        </is>
      </c>
      <c r="C3" s="40" t="inlineStr">
        <is>
          <t>教室</t>
        </is>
      </c>
      <c r="D3" s="40" t="inlineStr">
        <is>
          <t>学年</t>
        </is>
      </c>
      <c r="E3" s="40" t="inlineStr">
        <is>
          <t>コース</t>
        </is>
      </c>
      <c r="F3" s="40" t="inlineStr">
        <is>
          <t>1コマ単価</t>
        </is>
      </c>
      <c r="G3" s="40" t="inlineStr">
        <is>
          <t>週コマ数</t>
        </is>
      </c>
      <c r="H3" s="40" t="inlineStr">
        <is>
          <t>コマ数</t>
        </is>
      </c>
      <c r="I3" s="40" t="inlineStr">
        <is>
          <t>教材費</t>
        </is>
      </c>
      <c r="J3" s="40" t="inlineStr">
        <is>
          <t>授業料</t>
        </is>
      </c>
      <c r="K3" s="40" t="inlineStr">
        <is>
          <t>請求額(税込)</t>
        </is>
      </c>
      <c r="L3" s="40" t="inlineStr">
        <is>
          <t>保護者メール</t>
        </is>
      </c>
      <c r="M3" s="41" t="inlineStr">
        <is>
          <t>Gmail</t>
        </is>
      </c>
      <c r="N3" s="41" t="inlineStr">
        <is>
          <t>請求内容</t>
        </is>
      </c>
      <c r="O3" s="41" t="inlineStr">
        <is>
          <t>選択用(No：生徒名)</t>
        </is>
      </c>
    </row>
    <row r="4">
      <c r="A4" s="42">
        <f>ROW()-3</f>
        <v/>
      </c>
      <c r="B4" t="inlineStr">
        <is>
          <t>松本颯太</t>
        </is>
      </c>
      <c r="C4" s="42" t="inlineStr">
        <is>
          <t>本校</t>
        </is>
      </c>
      <c r="D4" s="42" t="inlineStr">
        <is>
          <t>小4</t>
        </is>
      </c>
      <c r="E4" s="42" t="inlineStr">
        <is>
          <t>個別指導</t>
        </is>
      </c>
      <c r="F4" s="28">
        <f>IFERROR(INDEX(TankaData[1コマ単価],MATCH(E4,TankaData[コース],0)),0)</f>
        <v/>
      </c>
      <c r="G4" s="43" t="n">
        <v>3</v>
      </c>
      <c r="H4" s="29">
        <f>G4*4</f>
        <v/>
      </c>
      <c r="I4" s="28">
        <f>IFERROR(INDEX(TankaData[教材費(標準)],MATCH(E4,TankaData[コース],0)),0)</f>
        <v/>
      </c>
      <c r="J4" s="28">
        <f>F4*H4</f>
        <v/>
      </c>
      <c r="K4" s="28">
        <f>J4+I4+ROUND((J4+I4)*0.1,0)</f>
        <v/>
      </c>
      <c r="L4" t="inlineStr">
        <is>
          <t>seito001@example.com</t>
        </is>
      </c>
      <c r="M4" s="44" t="inlineStr">
        <is>
          <t>📧 Gmailを開く</t>
        </is>
      </c>
      <c r="N4" s="45">
        <f>"教室："&amp;C4&amp;"／コース："&amp;E4&amp;"／コマ数："&amp;H4&amp;"コマ／授業料："&amp;TEXT(J4,"#,##0")&amp;"円／教材費："&amp;TEXT(I4,"#,##0")&amp;"円／消費税："&amp;TEXT(ROUND((J4+I4)*0.1,0),"#,##0")&amp;"円／請求額："&amp;TEXT(K4,"#,##0")&amp;"円"</f>
        <v/>
      </c>
      <c r="O4">
        <f>A4&amp;"："&amp;B4</f>
        <v/>
      </c>
    </row>
    <row r="5">
      <c r="A5" s="42">
        <f>ROW()-3</f>
        <v/>
      </c>
      <c r="B5" t="inlineStr">
        <is>
          <t>山崎咲良</t>
        </is>
      </c>
      <c r="C5" s="42" t="inlineStr">
        <is>
          <t>本校</t>
        </is>
      </c>
      <c r="D5" s="42" t="inlineStr">
        <is>
          <t>高1</t>
        </is>
      </c>
      <c r="E5" s="42" t="inlineStr">
        <is>
          <t>個別指導S</t>
        </is>
      </c>
      <c r="F5" s="28">
        <f>IFERROR(INDEX(TankaData[1コマ単価],MATCH(E5,TankaData[コース],0)),0)</f>
        <v/>
      </c>
      <c r="G5" s="43" t="n">
        <v>3</v>
      </c>
      <c r="H5" s="29">
        <f>G5*4</f>
        <v/>
      </c>
      <c r="I5" s="28">
        <f>IFERROR(INDEX(TankaData[教材費(標準)],MATCH(E5,TankaData[コース],0)),0)</f>
        <v/>
      </c>
      <c r="J5" s="28">
        <f>F5*H5</f>
        <v/>
      </c>
      <c r="K5" s="28">
        <f>J5+I5+ROUND((J5+I5)*0.1,0)</f>
        <v/>
      </c>
      <c r="L5" t="inlineStr">
        <is>
          <t>seito002@example.com</t>
        </is>
      </c>
      <c r="M5" s="44" t="inlineStr">
        <is>
          <t>📧 Gmailを開く</t>
        </is>
      </c>
      <c r="N5" s="45">
        <f>"教室："&amp;C5&amp;"／コース："&amp;E5&amp;"／コマ数："&amp;H5&amp;"コマ／授業料："&amp;TEXT(J5,"#,##0")&amp;"円／教材費："&amp;TEXT(I5,"#,##0")&amp;"円／消費税："&amp;TEXT(ROUND((J5+I5)*0.1,0),"#,##0")&amp;"円／請求額："&amp;TEXT(K5,"#,##0")&amp;"円"</f>
        <v/>
      </c>
      <c r="O5">
        <f>A5&amp;"："&amp;B5</f>
        <v/>
      </c>
    </row>
    <row r="6">
      <c r="A6" s="42">
        <f>ROW()-3</f>
        <v/>
      </c>
      <c r="B6" t="inlineStr">
        <is>
          <t>佐々木悠斗</t>
        </is>
      </c>
      <c r="C6" s="42" t="inlineStr">
        <is>
          <t>本校</t>
        </is>
      </c>
      <c r="D6" s="42" t="inlineStr">
        <is>
          <t>中3</t>
        </is>
      </c>
      <c r="E6" s="42" t="inlineStr">
        <is>
          <t>個別指導S</t>
        </is>
      </c>
      <c r="F6" s="28">
        <f>IFERROR(INDEX(TankaData[1コマ単価],MATCH(E6,TankaData[コース],0)),0)</f>
        <v/>
      </c>
      <c r="G6" s="43" t="n">
        <v>3</v>
      </c>
      <c r="H6" s="29">
        <f>G6*4</f>
        <v/>
      </c>
      <c r="I6" s="28">
        <f>IFERROR(INDEX(TankaData[教材費(標準)],MATCH(E6,TankaData[コース],0)),0)</f>
        <v/>
      </c>
      <c r="J6" s="28">
        <f>F6*H6</f>
        <v/>
      </c>
      <c r="K6" s="28">
        <f>J6+I6+ROUND((J6+I6)*0.1,0)</f>
        <v/>
      </c>
      <c r="L6" t="inlineStr">
        <is>
          <t>seito003@example.com</t>
        </is>
      </c>
      <c r="M6" s="44" t="inlineStr">
        <is>
          <t>📧 Gmailを開く</t>
        </is>
      </c>
      <c r="N6" s="45">
        <f>"教室："&amp;C6&amp;"／コース："&amp;E6&amp;"／コマ数："&amp;H6&amp;"コマ／授業料："&amp;TEXT(J6,"#,##0")&amp;"円／教材費："&amp;TEXT(I6,"#,##0")&amp;"円／消費税："&amp;TEXT(ROUND((J6+I6)*0.1,0),"#,##0")&amp;"円／請求額："&amp;TEXT(K6,"#,##0")&amp;"円"</f>
        <v/>
      </c>
      <c r="O6">
        <f>A6&amp;"："&amp;B6</f>
        <v/>
      </c>
    </row>
    <row r="7">
      <c r="A7" s="42">
        <f>ROW()-3</f>
        <v/>
      </c>
      <c r="B7" t="inlineStr">
        <is>
          <t>田中大和</t>
        </is>
      </c>
      <c r="C7" s="42" t="inlineStr">
        <is>
          <t>本校</t>
        </is>
      </c>
      <c r="D7" s="42" t="inlineStr">
        <is>
          <t>高3</t>
        </is>
      </c>
      <c r="E7" s="42" t="inlineStr">
        <is>
          <t>集団授業</t>
        </is>
      </c>
      <c r="F7" s="28">
        <f>IFERROR(INDEX(TankaData[1コマ単価],MATCH(E7,TankaData[コース],0)),0)</f>
        <v/>
      </c>
      <c r="G7" s="43" t="n">
        <v>4</v>
      </c>
      <c r="H7" s="29">
        <f>G7*4</f>
        <v/>
      </c>
      <c r="I7" s="28">
        <f>IFERROR(INDEX(TankaData[教材費(標準)],MATCH(E7,TankaData[コース],0)),0)</f>
        <v/>
      </c>
      <c r="J7" s="28">
        <f>F7*H7</f>
        <v/>
      </c>
      <c r="K7" s="28">
        <f>J7+I7+ROUND((J7+I7)*0.1,0)</f>
        <v/>
      </c>
      <c r="L7" t="inlineStr">
        <is>
          <t>seito004@example.com</t>
        </is>
      </c>
      <c r="M7" s="44" t="inlineStr">
        <is>
          <t>📧 Gmailを開く</t>
        </is>
      </c>
      <c r="N7" s="45">
        <f>"教室："&amp;C7&amp;"／コース："&amp;E7&amp;"／コマ数："&amp;H7&amp;"コマ／授業料："&amp;TEXT(J7,"#,##0")&amp;"円／教材費："&amp;TEXT(I7,"#,##0")&amp;"円／消費税："&amp;TEXT(ROUND((J7+I7)*0.1,0),"#,##0")&amp;"円／請求額："&amp;TEXT(K7,"#,##0")&amp;"円"</f>
        <v/>
      </c>
      <c r="O7">
        <f>A7&amp;"："&amp;B7</f>
        <v/>
      </c>
    </row>
    <row r="8">
      <c r="A8" s="42">
        <f>ROW()-3</f>
        <v/>
      </c>
      <c r="B8" t="inlineStr">
        <is>
          <t>中野莉子</t>
        </is>
      </c>
      <c r="C8" s="42" t="inlineStr">
        <is>
          <t>本校</t>
        </is>
      </c>
      <c r="D8" s="42" t="inlineStr">
        <is>
          <t>中3</t>
        </is>
      </c>
      <c r="E8" s="42" t="inlineStr">
        <is>
          <t>映像授業</t>
        </is>
      </c>
      <c r="F8" s="28">
        <f>IFERROR(INDEX(TankaData[1コマ単価],MATCH(E8,TankaData[コース],0)),0)</f>
        <v/>
      </c>
      <c r="G8" s="43" t="n">
        <v>3</v>
      </c>
      <c r="H8" s="29">
        <f>G8*4</f>
        <v/>
      </c>
      <c r="I8" s="28">
        <f>IFERROR(INDEX(TankaData[教材費(標準)],MATCH(E8,TankaData[コース],0)),0)</f>
        <v/>
      </c>
      <c r="J8" s="28">
        <f>F8*H8</f>
        <v/>
      </c>
      <c r="K8" s="28">
        <f>J8+I8+ROUND((J8+I8)*0.1,0)</f>
        <v/>
      </c>
      <c r="L8" t="inlineStr">
        <is>
          <t>seito005@example.com</t>
        </is>
      </c>
      <c r="M8" s="44" t="inlineStr">
        <is>
          <t>📧 Gmailを開く</t>
        </is>
      </c>
      <c r="N8" s="45">
        <f>"教室："&amp;C8&amp;"／コース："&amp;E8&amp;"／コマ数："&amp;H8&amp;"コマ／授業料："&amp;TEXT(J8,"#,##0")&amp;"円／教材費："&amp;TEXT(I8,"#,##0")&amp;"円／消費税："&amp;TEXT(ROUND((J8+I8)*0.1,0),"#,##0")&amp;"円／請求額："&amp;TEXT(K8,"#,##0")&amp;"円"</f>
        <v/>
      </c>
      <c r="O8">
        <f>A8&amp;"："&amp;B8</f>
        <v/>
      </c>
    </row>
    <row r="9">
      <c r="A9" s="42">
        <f>ROW()-3</f>
        <v/>
      </c>
      <c r="B9" t="inlineStr">
        <is>
          <t>橋本莉子</t>
        </is>
      </c>
      <c r="C9" s="42" t="inlineStr">
        <is>
          <t>本校</t>
        </is>
      </c>
      <c r="D9" s="42" t="inlineStr">
        <is>
          <t>高3</t>
        </is>
      </c>
      <c r="E9" s="42" t="inlineStr">
        <is>
          <t>個別指導</t>
        </is>
      </c>
      <c r="F9" s="28">
        <f>IFERROR(INDEX(TankaData[1コマ単価],MATCH(E9,TankaData[コース],0)),0)</f>
        <v/>
      </c>
      <c r="G9" s="43" t="n">
        <v>2</v>
      </c>
      <c r="H9" s="29">
        <f>G9*4</f>
        <v/>
      </c>
      <c r="I9" s="28">
        <f>IFERROR(INDEX(TankaData[教材費(標準)],MATCH(E9,TankaData[コース],0)),0)</f>
        <v/>
      </c>
      <c r="J9" s="28">
        <f>F9*H9</f>
        <v/>
      </c>
      <c r="K9" s="28">
        <f>J9+I9+ROUND((J9+I9)*0.1,0)</f>
        <v/>
      </c>
      <c r="L9" t="inlineStr">
        <is>
          <t>seito006@example.com</t>
        </is>
      </c>
      <c r="M9" s="44" t="inlineStr">
        <is>
          <t>📧 Gmailを開く</t>
        </is>
      </c>
      <c r="N9" s="45">
        <f>"教室："&amp;C9&amp;"／コース："&amp;E9&amp;"／コマ数："&amp;H9&amp;"コマ／授業料："&amp;TEXT(J9,"#,##0")&amp;"円／教材費："&amp;TEXT(I9,"#,##0")&amp;"円／消費税："&amp;TEXT(ROUND((J9+I9)*0.1,0),"#,##0")&amp;"円／請求額："&amp;TEXT(K9,"#,##0")&amp;"円"</f>
        <v/>
      </c>
      <c r="O9">
        <f>A9&amp;"："&amp;B9</f>
        <v/>
      </c>
    </row>
    <row r="10">
      <c r="A10" s="42">
        <f>ROW()-3</f>
        <v/>
      </c>
      <c r="B10" t="inlineStr">
        <is>
          <t>佐藤駿</t>
        </is>
      </c>
      <c r="C10" s="42" t="inlineStr">
        <is>
          <t>本校</t>
        </is>
      </c>
      <c r="D10" s="42" t="inlineStr">
        <is>
          <t>高1</t>
        </is>
      </c>
      <c r="E10" s="42" t="inlineStr">
        <is>
          <t>映像授業</t>
        </is>
      </c>
      <c r="F10" s="28">
        <f>IFERROR(INDEX(TankaData[1コマ単価],MATCH(E10,TankaData[コース],0)),0)</f>
        <v/>
      </c>
      <c r="G10" s="43" t="n">
        <v>2</v>
      </c>
      <c r="H10" s="29">
        <f>G10*4</f>
        <v/>
      </c>
      <c r="I10" s="28">
        <f>IFERROR(INDEX(TankaData[教材費(標準)],MATCH(E10,TankaData[コース],0)),0)</f>
        <v/>
      </c>
      <c r="J10" s="28">
        <f>F10*H10</f>
        <v/>
      </c>
      <c r="K10" s="28">
        <f>J10+I10+ROUND((J10+I10)*0.1,0)</f>
        <v/>
      </c>
      <c r="L10" t="inlineStr">
        <is>
          <t>seito007@example.com</t>
        </is>
      </c>
      <c r="M10" s="44" t="inlineStr">
        <is>
          <t>📧 Gmailを開く</t>
        </is>
      </c>
      <c r="N10" s="45">
        <f>"教室："&amp;C10&amp;"／コース："&amp;E10&amp;"／コマ数："&amp;H10&amp;"コマ／授業料："&amp;TEXT(J10,"#,##0")&amp;"円／教材費："&amp;TEXT(I10,"#,##0")&amp;"円／消費税："&amp;TEXT(ROUND((J10+I10)*0.1,0),"#,##0")&amp;"円／請求額："&amp;TEXT(K10,"#,##0")&amp;"円"</f>
        <v/>
      </c>
      <c r="O10">
        <f>A10&amp;"："&amp;B10</f>
        <v/>
      </c>
    </row>
    <row r="11">
      <c r="A11" s="42">
        <f>ROW()-3</f>
        <v/>
      </c>
      <c r="B11" t="inlineStr">
        <is>
          <t>阿部悠真</t>
        </is>
      </c>
      <c r="C11" s="42" t="inlineStr">
        <is>
          <t>本校</t>
        </is>
      </c>
      <c r="D11" s="42" t="inlineStr">
        <is>
          <t>中2</t>
        </is>
      </c>
      <c r="E11" s="42" t="inlineStr">
        <is>
          <t>映像授業</t>
        </is>
      </c>
      <c r="F11" s="28">
        <f>IFERROR(INDEX(TankaData[1コマ単価],MATCH(E11,TankaData[コース],0)),0)</f>
        <v/>
      </c>
      <c r="G11" s="43" t="n">
        <v>5</v>
      </c>
      <c r="H11" s="29">
        <f>G11*4</f>
        <v/>
      </c>
      <c r="I11" s="28">
        <f>IFERROR(INDEX(TankaData[教材費(標準)],MATCH(E11,TankaData[コース],0)),0)</f>
        <v/>
      </c>
      <c r="J11" s="28">
        <f>F11*H11</f>
        <v/>
      </c>
      <c r="K11" s="28">
        <f>J11+I11+ROUND((J11+I11)*0.1,0)</f>
        <v/>
      </c>
      <c r="L11" t="inlineStr">
        <is>
          <t>seito008@example.com</t>
        </is>
      </c>
      <c r="M11" s="44" t="inlineStr">
        <is>
          <t>📧 Gmailを開く</t>
        </is>
      </c>
      <c r="N11" s="45">
        <f>"教室："&amp;C11&amp;"／コース："&amp;E11&amp;"／コマ数："&amp;H11&amp;"コマ／授業料："&amp;TEXT(J11,"#,##0")&amp;"円／教材費："&amp;TEXT(I11,"#,##0")&amp;"円／消費税："&amp;TEXT(ROUND((J11+I11)*0.1,0),"#,##0")&amp;"円／請求額："&amp;TEXT(K11,"#,##0")&amp;"円"</f>
        <v/>
      </c>
      <c r="O11">
        <f>A11&amp;"："&amp;B11</f>
        <v/>
      </c>
    </row>
    <row r="12">
      <c r="A12" s="42">
        <f>ROW()-3</f>
        <v/>
      </c>
      <c r="B12" t="inlineStr">
        <is>
          <t>石川凛</t>
        </is>
      </c>
      <c r="C12" s="42" t="inlineStr">
        <is>
          <t>本校</t>
        </is>
      </c>
      <c r="D12" s="42" t="inlineStr">
        <is>
          <t>小4</t>
        </is>
      </c>
      <c r="E12" s="42" t="inlineStr">
        <is>
          <t>集団授業</t>
        </is>
      </c>
      <c r="F12" s="28">
        <f>IFERROR(INDEX(TankaData[1コマ単価],MATCH(E12,TankaData[コース],0)),0)</f>
        <v/>
      </c>
      <c r="G12" s="43" t="n">
        <v>3</v>
      </c>
      <c r="H12" s="29">
        <f>G12*4</f>
        <v/>
      </c>
      <c r="I12" s="28">
        <f>IFERROR(INDEX(TankaData[教材費(標準)],MATCH(E12,TankaData[コース],0)),0)</f>
        <v/>
      </c>
      <c r="J12" s="28">
        <f>F12*H12</f>
        <v/>
      </c>
      <c r="K12" s="28">
        <f>J12+I12+ROUND((J12+I12)*0.1,0)</f>
        <v/>
      </c>
      <c r="L12" t="inlineStr">
        <is>
          <t>seito009@example.com</t>
        </is>
      </c>
      <c r="M12" s="44" t="inlineStr">
        <is>
          <t>📧 Gmailを開く</t>
        </is>
      </c>
      <c r="N12" s="45">
        <f>"教室："&amp;C12&amp;"／コース："&amp;E12&amp;"／コマ数："&amp;H12&amp;"コマ／授業料："&amp;TEXT(J12,"#,##0")&amp;"円／教材費："&amp;TEXT(I12,"#,##0")&amp;"円／消費税："&amp;TEXT(ROUND((J12+I12)*0.1,0),"#,##0")&amp;"円／請求額："&amp;TEXT(K12,"#,##0")&amp;"円"</f>
        <v/>
      </c>
      <c r="O12">
        <f>A12&amp;"："&amp;B12</f>
        <v/>
      </c>
    </row>
    <row r="13">
      <c r="A13" s="42">
        <f>ROW()-3</f>
        <v/>
      </c>
      <c r="B13" t="inlineStr">
        <is>
          <t>木村美結</t>
        </is>
      </c>
      <c r="C13" s="42" t="inlineStr">
        <is>
          <t>本校</t>
        </is>
      </c>
      <c r="D13" s="42" t="inlineStr">
        <is>
          <t>中1</t>
        </is>
      </c>
      <c r="E13" s="42" t="inlineStr">
        <is>
          <t>映像授業</t>
        </is>
      </c>
      <c r="F13" s="28">
        <f>IFERROR(INDEX(TankaData[1コマ単価],MATCH(E13,TankaData[コース],0)),0)</f>
        <v/>
      </c>
      <c r="G13" s="43" t="n">
        <v>5</v>
      </c>
      <c r="H13" s="29">
        <f>G13*4</f>
        <v/>
      </c>
      <c r="I13" s="28">
        <f>IFERROR(INDEX(TankaData[教材費(標準)],MATCH(E13,TankaData[コース],0)),0)</f>
        <v/>
      </c>
      <c r="J13" s="28">
        <f>F13*H13</f>
        <v/>
      </c>
      <c r="K13" s="28">
        <f>J13+I13+ROUND((J13+I13)*0.1,0)</f>
        <v/>
      </c>
      <c r="L13" t="inlineStr">
        <is>
          <t>seito010@example.com</t>
        </is>
      </c>
      <c r="M13" s="44" t="inlineStr">
        <is>
          <t>📧 Gmailを開く</t>
        </is>
      </c>
      <c r="N13" s="45">
        <f>"教室："&amp;C13&amp;"／コース："&amp;E13&amp;"／コマ数："&amp;H13&amp;"コマ／授業料："&amp;TEXT(J13,"#,##0")&amp;"円／教材費："&amp;TEXT(I13,"#,##0")&amp;"円／消費税："&amp;TEXT(ROUND((J13+I13)*0.1,0),"#,##0")&amp;"円／請求額："&amp;TEXT(K13,"#,##0")&amp;"円"</f>
        <v/>
      </c>
      <c r="O13">
        <f>A13&amp;"："&amp;B13</f>
        <v/>
      </c>
    </row>
    <row r="14">
      <c r="A14" s="42">
        <f>ROW()-3</f>
        <v/>
      </c>
      <c r="B14" t="inlineStr">
        <is>
          <t>小林彩花</t>
        </is>
      </c>
      <c r="C14" s="42" t="inlineStr">
        <is>
          <t>本校</t>
        </is>
      </c>
      <c r="D14" s="42" t="inlineStr">
        <is>
          <t>中3</t>
        </is>
      </c>
      <c r="E14" s="42" t="inlineStr">
        <is>
          <t>映像授業</t>
        </is>
      </c>
      <c r="F14" s="28">
        <f>IFERROR(INDEX(TankaData[1コマ単価],MATCH(E14,TankaData[コース],0)),0)</f>
        <v/>
      </c>
      <c r="G14" s="43" t="n">
        <v>4</v>
      </c>
      <c r="H14" s="29">
        <f>G14*4</f>
        <v/>
      </c>
      <c r="I14" s="28">
        <f>IFERROR(INDEX(TankaData[教材費(標準)],MATCH(E14,TankaData[コース],0)),0)</f>
        <v/>
      </c>
      <c r="J14" s="28">
        <f>F14*H14</f>
        <v/>
      </c>
      <c r="K14" s="28">
        <f>J14+I14+ROUND((J14+I14)*0.1,0)</f>
        <v/>
      </c>
      <c r="L14" t="inlineStr">
        <is>
          <t>seito011@example.com</t>
        </is>
      </c>
      <c r="M14" s="44" t="inlineStr">
        <is>
          <t>📧 Gmailを開く</t>
        </is>
      </c>
      <c r="N14" s="45">
        <f>"教室："&amp;C14&amp;"／コース："&amp;E14&amp;"／コマ数："&amp;H14&amp;"コマ／授業料："&amp;TEXT(J14,"#,##0")&amp;"円／教材費："&amp;TEXT(I14,"#,##0")&amp;"円／消費税："&amp;TEXT(ROUND((J14+I14)*0.1,0),"#,##0")&amp;"円／請求額："&amp;TEXT(K14,"#,##0")&amp;"円"</f>
        <v/>
      </c>
      <c r="O14">
        <f>A14&amp;"："&amp;B14</f>
        <v/>
      </c>
    </row>
    <row r="15">
      <c r="A15" s="42">
        <f>ROW()-3</f>
        <v/>
      </c>
      <c r="B15" t="inlineStr">
        <is>
          <t>吉田駿</t>
        </is>
      </c>
      <c r="C15" s="42" t="inlineStr">
        <is>
          <t>本校</t>
        </is>
      </c>
      <c r="D15" s="42" t="inlineStr">
        <is>
          <t>高2</t>
        </is>
      </c>
      <c r="E15" s="42" t="inlineStr">
        <is>
          <t>個別指導</t>
        </is>
      </c>
      <c r="F15" s="28">
        <f>IFERROR(INDEX(TankaData[1コマ単価],MATCH(E15,TankaData[コース],0)),0)</f>
        <v/>
      </c>
      <c r="G15" s="43" t="n">
        <v>5</v>
      </c>
      <c r="H15" s="29">
        <f>G15*4</f>
        <v/>
      </c>
      <c r="I15" s="28">
        <f>IFERROR(INDEX(TankaData[教材費(標準)],MATCH(E15,TankaData[コース],0)),0)</f>
        <v/>
      </c>
      <c r="J15" s="28">
        <f>F15*H15</f>
        <v/>
      </c>
      <c r="K15" s="28">
        <f>J15+I15+ROUND((J15+I15)*0.1,0)</f>
        <v/>
      </c>
      <c r="L15" t="inlineStr">
        <is>
          <t>seito012@example.com</t>
        </is>
      </c>
      <c r="M15" s="44" t="inlineStr">
        <is>
          <t>📧 Gmailを開く</t>
        </is>
      </c>
      <c r="N15" s="45">
        <f>"教室："&amp;C15&amp;"／コース："&amp;E15&amp;"／コマ数："&amp;H15&amp;"コマ／授業料："&amp;TEXT(J15,"#,##0")&amp;"円／教材費："&amp;TEXT(I15,"#,##0")&amp;"円／消費税："&amp;TEXT(ROUND((J15+I15)*0.1,0),"#,##0")&amp;"円／請求額："&amp;TEXT(K15,"#,##0")&amp;"円"</f>
        <v/>
      </c>
      <c r="O15">
        <f>A15&amp;"："&amp;B15</f>
        <v/>
      </c>
    </row>
    <row r="16">
      <c r="A16" s="42">
        <f>ROW()-3</f>
        <v/>
      </c>
      <c r="B16" t="inlineStr">
        <is>
          <t>竹内蓮</t>
        </is>
      </c>
      <c r="C16" s="42" t="inlineStr">
        <is>
          <t>本校</t>
        </is>
      </c>
      <c r="D16" s="42" t="inlineStr">
        <is>
          <t>高2</t>
        </is>
      </c>
      <c r="E16" s="42" t="inlineStr">
        <is>
          <t>個別指導</t>
        </is>
      </c>
      <c r="F16" s="28">
        <f>IFERROR(INDEX(TankaData[1コマ単価],MATCH(E16,TankaData[コース],0)),0)</f>
        <v/>
      </c>
      <c r="G16" s="43" t="n">
        <v>1</v>
      </c>
      <c r="H16" s="29">
        <f>G16*4</f>
        <v/>
      </c>
      <c r="I16" s="28">
        <f>IFERROR(INDEX(TankaData[教材費(標準)],MATCH(E16,TankaData[コース],0)),0)</f>
        <v/>
      </c>
      <c r="J16" s="28">
        <f>F16*H16</f>
        <v/>
      </c>
      <c r="K16" s="28">
        <f>J16+I16+ROUND((J16+I16)*0.1,0)</f>
        <v/>
      </c>
      <c r="L16" t="inlineStr">
        <is>
          <t>seito013@example.com</t>
        </is>
      </c>
      <c r="M16" s="44" t="inlineStr">
        <is>
          <t>📧 Gmailを開く</t>
        </is>
      </c>
      <c r="N16" s="45">
        <f>"教室："&amp;C16&amp;"／コース："&amp;E16&amp;"／コマ数："&amp;H16&amp;"コマ／授業料："&amp;TEXT(J16,"#,##0")&amp;"円／教材費："&amp;TEXT(I16,"#,##0")&amp;"円／消費税："&amp;TEXT(ROUND((J16+I16)*0.1,0),"#,##0")&amp;"円／請求額："&amp;TEXT(K16,"#,##0")&amp;"円"</f>
        <v/>
      </c>
      <c r="O16">
        <f>A16&amp;"："&amp;B16</f>
        <v/>
      </c>
    </row>
    <row r="17">
      <c r="A17" s="42">
        <f>ROW()-3</f>
        <v/>
      </c>
      <c r="B17" t="inlineStr">
        <is>
          <t>木村優奈</t>
        </is>
      </c>
      <c r="C17" s="42" t="inlineStr">
        <is>
          <t>本校</t>
        </is>
      </c>
      <c r="D17" s="42" t="inlineStr">
        <is>
          <t>中2</t>
        </is>
      </c>
      <c r="E17" s="42" t="inlineStr">
        <is>
          <t>集団授業</t>
        </is>
      </c>
      <c r="F17" s="28">
        <f>IFERROR(INDEX(TankaData[1コマ単価],MATCH(E17,TankaData[コース],0)),0)</f>
        <v/>
      </c>
      <c r="G17" s="43" t="n">
        <v>1</v>
      </c>
      <c r="H17" s="29">
        <f>G17*4</f>
        <v/>
      </c>
      <c r="I17" s="28">
        <f>IFERROR(INDEX(TankaData[教材費(標準)],MATCH(E17,TankaData[コース],0)),0)</f>
        <v/>
      </c>
      <c r="J17" s="28">
        <f>F17*H17</f>
        <v/>
      </c>
      <c r="K17" s="28">
        <f>J17+I17+ROUND((J17+I17)*0.1,0)</f>
        <v/>
      </c>
      <c r="L17" t="inlineStr">
        <is>
          <t>seito014@example.com</t>
        </is>
      </c>
      <c r="M17" s="44" t="inlineStr">
        <is>
          <t>📧 Gmailを開く</t>
        </is>
      </c>
      <c r="N17" s="45">
        <f>"教室："&amp;C17&amp;"／コース："&amp;E17&amp;"／コマ数："&amp;H17&amp;"コマ／授業料："&amp;TEXT(J17,"#,##0")&amp;"円／教材費："&amp;TEXT(I17,"#,##0")&amp;"円／消費税："&amp;TEXT(ROUND((J17+I17)*0.1,0),"#,##0")&amp;"円／請求額："&amp;TEXT(K17,"#,##0")&amp;"円"</f>
        <v/>
      </c>
      <c r="O17">
        <f>A17&amp;"："&amp;B17</f>
        <v/>
      </c>
    </row>
    <row r="18">
      <c r="A18" s="42">
        <f>ROW()-3</f>
        <v/>
      </c>
      <c r="B18" t="inlineStr">
        <is>
          <t>村上悠斗</t>
        </is>
      </c>
      <c r="C18" s="42" t="inlineStr">
        <is>
          <t>本校</t>
        </is>
      </c>
      <c r="D18" s="42" t="inlineStr">
        <is>
          <t>中1</t>
        </is>
      </c>
      <c r="E18" s="42" t="inlineStr">
        <is>
          <t>集団授業</t>
        </is>
      </c>
      <c r="F18" s="28">
        <f>IFERROR(INDEX(TankaData[1コマ単価],MATCH(E18,TankaData[コース],0)),0)</f>
        <v/>
      </c>
      <c r="G18" s="43" t="n">
        <v>2</v>
      </c>
      <c r="H18" s="29">
        <f>G18*4</f>
        <v/>
      </c>
      <c r="I18" s="28">
        <f>IFERROR(INDEX(TankaData[教材費(標準)],MATCH(E18,TankaData[コース],0)),0)</f>
        <v/>
      </c>
      <c r="J18" s="28">
        <f>F18*H18</f>
        <v/>
      </c>
      <c r="K18" s="28">
        <f>J18+I18+ROUND((J18+I18)*0.1,0)</f>
        <v/>
      </c>
      <c r="L18" t="inlineStr">
        <is>
          <t>seito015@example.com</t>
        </is>
      </c>
      <c r="M18" s="44" t="inlineStr">
        <is>
          <t>📧 Gmailを開く</t>
        </is>
      </c>
      <c r="N18" s="45">
        <f>"教室："&amp;C18&amp;"／コース："&amp;E18&amp;"／コマ数："&amp;H18&amp;"コマ／授業料："&amp;TEXT(J18,"#,##0")&amp;"円／教材費："&amp;TEXT(I18,"#,##0")&amp;"円／消費税："&amp;TEXT(ROUND((J18+I18)*0.1,0),"#,##0")&amp;"円／請求額："&amp;TEXT(K18,"#,##0")&amp;"円"</f>
        <v/>
      </c>
      <c r="O18">
        <f>A18&amp;"："&amp;B18</f>
        <v/>
      </c>
    </row>
    <row r="19">
      <c r="A19" s="42">
        <f>ROW()-3</f>
        <v/>
      </c>
      <c r="B19" t="inlineStr">
        <is>
          <t>石川大翔</t>
        </is>
      </c>
      <c r="C19" s="42" t="inlineStr">
        <is>
          <t>本校</t>
        </is>
      </c>
      <c r="D19" s="42" t="inlineStr">
        <is>
          <t>中1</t>
        </is>
      </c>
      <c r="E19" s="42" t="inlineStr">
        <is>
          <t>個別指導</t>
        </is>
      </c>
      <c r="F19" s="28">
        <f>IFERROR(INDEX(TankaData[1コマ単価],MATCH(E19,TankaData[コース],0)),0)</f>
        <v/>
      </c>
      <c r="G19" s="43" t="n">
        <v>1</v>
      </c>
      <c r="H19" s="29">
        <f>G19*4</f>
        <v/>
      </c>
      <c r="I19" s="28">
        <f>IFERROR(INDEX(TankaData[教材費(標準)],MATCH(E19,TankaData[コース],0)),0)</f>
        <v/>
      </c>
      <c r="J19" s="28">
        <f>F19*H19</f>
        <v/>
      </c>
      <c r="K19" s="28">
        <f>J19+I19+ROUND((J19+I19)*0.1,0)</f>
        <v/>
      </c>
      <c r="L19" t="inlineStr">
        <is>
          <t>seito016@example.com</t>
        </is>
      </c>
      <c r="M19" s="44" t="inlineStr">
        <is>
          <t>📧 Gmailを開く</t>
        </is>
      </c>
      <c r="N19" s="45">
        <f>"教室："&amp;C19&amp;"／コース："&amp;E19&amp;"／コマ数："&amp;H19&amp;"コマ／授業料："&amp;TEXT(J19,"#,##0")&amp;"円／教材費："&amp;TEXT(I19,"#,##0")&amp;"円／消費税："&amp;TEXT(ROUND((J19+I19)*0.1,0),"#,##0")&amp;"円／請求額："&amp;TEXT(K19,"#,##0")&amp;"円"</f>
        <v/>
      </c>
      <c r="O19">
        <f>A19&amp;"："&amp;B19</f>
        <v/>
      </c>
    </row>
    <row r="20">
      <c r="A20" s="42">
        <f>ROW()-3</f>
        <v/>
      </c>
      <c r="B20" t="inlineStr">
        <is>
          <t>太田凛</t>
        </is>
      </c>
      <c r="C20" s="42" t="inlineStr">
        <is>
          <t>本校</t>
        </is>
      </c>
      <c r="D20" s="42" t="inlineStr">
        <is>
          <t>小4</t>
        </is>
      </c>
      <c r="E20" s="42" t="inlineStr">
        <is>
          <t>個別指導</t>
        </is>
      </c>
      <c r="F20" s="28">
        <f>IFERROR(INDEX(TankaData[1コマ単価],MATCH(E20,TankaData[コース],0)),0)</f>
        <v/>
      </c>
      <c r="G20" s="43" t="n">
        <v>4</v>
      </c>
      <c r="H20" s="29">
        <f>G20*4</f>
        <v/>
      </c>
      <c r="I20" s="28">
        <f>IFERROR(INDEX(TankaData[教材費(標準)],MATCH(E20,TankaData[コース],0)),0)</f>
        <v/>
      </c>
      <c r="J20" s="28">
        <f>F20*H20</f>
        <v/>
      </c>
      <c r="K20" s="28">
        <f>J20+I20+ROUND((J20+I20)*0.1,0)</f>
        <v/>
      </c>
      <c r="L20" t="inlineStr">
        <is>
          <t>seito017@example.com</t>
        </is>
      </c>
      <c r="M20" s="44" t="inlineStr">
        <is>
          <t>📧 Gmailを開く</t>
        </is>
      </c>
      <c r="N20" s="45">
        <f>"教室："&amp;C20&amp;"／コース："&amp;E20&amp;"／コマ数："&amp;H20&amp;"コマ／授業料："&amp;TEXT(J20,"#,##0")&amp;"円／教材費："&amp;TEXT(I20,"#,##0")&amp;"円／消費税："&amp;TEXT(ROUND((J20+I20)*0.1,0),"#,##0")&amp;"円／請求額："&amp;TEXT(K20,"#,##0")&amp;"円"</f>
        <v/>
      </c>
      <c r="O20">
        <f>A20&amp;"："&amp;B20</f>
        <v/>
      </c>
    </row>
    <row r="21">
      <c r="A21" s="42">
        <f>ROW()-3</f>
        <v/>
      </c>
      <c r="B21" t="inlineStr">
        <is>
          <t>吉田陽向</t>
        </is>
      </c>
      <c r="C21" s="42" t="inlineStr">
        <is>
          <t>本校</t>
        </is>
      </c>
      <c r="D21" s="42" t="inlineStr">
        <is>
          <t>小5</t>
        </is>
      </c>
      <c r="E21" s="42" t="inlineStr">
        <is>
          <t>映像授業</t>
        </is>
      </c>
      <c r="F21" s="28">
        <f>IFERROR(INDEX(TankaData[1コマ単価],MATCH(E21,TankaData[コース],0)),0)</f>
        <v/>
      </c>
      <c r="G21" s="43" t="n">
        <v>4</v>
      </c>
      <c r="H21" s="29">
        <f>G21*4</f>
        <v/>
      </c>
      <c r="I21" s="28">
        <f>IFERROR(INDEX(TankaData[教材費(標準)],MATCH(E21,TankaData[コース],0)),0)</f>
        <v/>
      </c>
      <c r="J21" s="28">
        <f>F21*H21</f>
        <v/>
      </c>
      <c r="K21" s="28">
        <f>J21+I21+ROUND((J21+I21)*0.1,0)</f>
        <v/>
      </c>
      <c r="L21" t="inlineStr">
        <is>
          <t>seito018@example.com</t>
        </is>
      </c>
      <c r="M21" s="44" t="inlineStr">
        <is>
          <t>📧 Gmailを開く</t>
        </is>
      </c>
      <c r="N21" s="45">
        <f>"教室："&amp;C21&amp;"／コース："&amp;E21&amp;"／コマ数："&amp;H21&amp;"コマ／授業料："&amp;TEXT(J21,"#,##0")&amp;"円／教材費："&amp;TEXT(I21,"#,##0")&amp;"円／消費税："&amp;TEXT(ROUND((J21+I21)*0.1,0),"#,##0")&amp;"円／請求額："&amp;TEXT(K21,"#,##0")&amp;"円"</f>
        <v/>
      </c>
      <c r="O21">
        <f>A21&amp;"："&amp;B21</f>
        <v/>
      </c>
    </row>
    <row r="22">
      <c r="A22" s="42">
        <f>ROW()-3</f>
        <v/>
      </c>
      <c r="B22" t="inlineStr">
        <is>
          <t>山下咲良</t>
        </is>
      </c>
      <c r="C22" s="42" t="inlineStr">
        <is>
          <t>本校</t>
        </is>
      </c>
      <c r="D22" s="42" t="inlineStr">
        <is>
          <t>中1</t>
        </is>
      </c>
      <c r="E22" s="42" t="inlineStr">
        <is>
          <t>映像授業</t>
        </is>
      </c>
      <c r="F22" s="28">
        <f>IFERROR(INDEX(TankaData[1コマ単価],MATCH(E22,TankaData[コース],0)),0)</f>
        <v/>
      </c>
      <c r="G22" s="43" t="n">
        <v>4</v>
      </c>
      <c r="H22" s="29">
        <f>G22*4</f>
        <v/>
      </c>
      <c r="I22" s="28">
        <f>IFERROR(INDEX(TankaData[教材費(標準)],MATCH(E22,TankaData[コース],0)),0)</f>
        <v/>
      </c>
      <c r="J22" s="28">
        <f>F22*H22</f>
        <v/>
      </c>
      <c r="K22" s="28">
        <f>J22+I22+ROUND((J22+I22)*0.1,0)</f>
        <v/>
      </c>
      <c r="L22" t="inlineStr">
        <is>
          <t>seito019@example.com</t>
        </is>
      </c>
      <c r="M22" s="44" t="inlineStr">
        <is>
          <t>📧 Gmailを開く</t>
        </is>
      </c>
      <c r="N22" s="45">
        <f>"教室："&amp;C22&amp;"／コース："&amp;E22&amp;"／コマ数："&amp;H22&amp;"コマ／授業料："&amp;TEXT(J22,"#,##0")&amp;"円／教材費："&amp;TEXT(I22,"#,##0")&amp;"円／消費税："&amp;TEXT(ROUND((J22+I22)*0.1,0),"#,##0")&amp;"円／請求額："&amp;TEXT(K22,"#,##0")&amp;"円"</f>
        <v/>
      </c>
      <c r="O22">
        <f>A22&amp;"："&amp;B22</f>
        <v/>
      </c>
    </row>
    <row r="23">
      <c r="A23" s="42">
        <f>ROW()-3</f>
        <v/>
      </c>
      <c r="B23" t="inlineStr">
        <is>
          <t>後藤愛</t>
        </is>
      </c>
      <c r="C23" s="42" t="inlineStr">
        <is>
          <t>本校</t>
        </is>
      </c>
      <c r="D23" s="42" t="inlineStr">
        <is>
          <t>高1</t>
        </is>
      </c>
      <c r="E23" s="42" t="inlineStr">
        <is>
          <t>個別指導</t>
        </is>
      </c>
      <c r="F23" s="28">
        <f>IFERROR(INDEX(TankaData[1コマ単価],MATCH(E23,TankaData[コース],0)),0)</f>
        <v/>
      </c>
      <c r="G23" s="43" t="n">
        <v>2</v>
      </c>
      <c r="H23" s="29">
        <f>G23*4</f>
        <v/>
      </c>
      <c r="I23" s="28">
        <f>IFERROR(INDEX(TankaData[教材費(標準)],MATCH(E23,TankaData[コース],0)),0)</f>
        <v/>
      </c>
      <c r="J23" s="28">
        <f>F23*H23</f>
        <v/>
      </c>
      <c r="K23" s="28">
        <f>J23+I23+ROUND((J23+I23)*0.1,0)</f>
        <v/>
      </c>
      <c r="L23" t="inlineStr">
        <is>
          <t>seito020@example.com</t>
        </is>
      </c>
      <c r="M23" s="44" t="inlineStr">
        <is>
          <t>📧 Gmailを開く</t>
        </is>
      </c>
      <c r="N23" s="45">
        <f>"教室："&amp;C23&amp;"／コース："&amp;E23&amp;"／コマ数："&amp;H23&amp;"コマ／授業料："&amp;TEXT(J23,"#,##0")&amp;"円／教材費："&amp;TEXT(I23,"#,##0")&amp;"円／消費税："&amp;TEXT(ROUND((J23+I23)*0.1,0),"#,##0")&amp;"円／請求額："&amp;TEXT(K23,"#,##0")&amp;"円"</f>
        <v/>
      </c>
      <c r="O23">
        <f>A23&amp;"："&amp;B23</f>
        <v/>
      </c>
    </row>
    <row r="24">
      <c r="A24" s="42">
        <f>ROW()-3</f>
        <v/>
      </c>
      <c r="B24" t="inlineStr">
        <is>
          <t>田村美結</t>
        </is>
      </c>
      <c r="C24" s="42" t="inlineStr">
        <is>
          <t>本校</t>
        </is>
      </c>
      <c r="D24" s="42" t="inlineStr">
        <is>
          <t>小4</t>
        </is>
      </c>
      <c r="E24" s="42" t="inlineStr">
        <is>
          <t>個別指導S</t>
        </is>
      </c>
      <c r="F24" s="28">
        <f>IFERROR(INDEX(TankaData[1コマ単価],MATCH(E24,TankaData[コース],0)),0)</f>
        <v/>
      </c>
      <c r="G24" s="43" t="n">
        <v>4</v>
      </c>
      <c r="H24" s="29">
        <f>G24*4</f>
        <v/>
      </c>
      <c r="I24" s="28">
        <f>IFERROR(INDEX(TankaData[教材費(標準)],MATCH(E24,TankaData[コース],0)),0)</f>
        <v/>
      </c>
      <c r="J24" s="28">
        <f>F24*H24</f>
        <v/>
      </c>
      <c r="K24" s="28">
        <f>J24+I24+ROUND((J24+I24)*0.1,0)</f>
        <v/>
      </c>
      <c r="L24" t="inlineStr">
        <is>
          <t>seito021@example.com</t>
        </is>
      </c>
      <c r="M24" s="44" t="inlineStr">
        <is>
          <t>📧 Gmailを開く</t>
        </is>
      </c>
      <c r="N24" s="45">
        <f>"教室："&amp;C24&amp;"／コース："&amp;E24&amp;"／コマ数："&amp;H24&amp;"コマ／授業料："&amp;TEXT(J24,"#,##0")&amp;"円／教材費："&amp;TEXT(I24,"#,##0")&amp;"円／消費税："&amp;TEXT(ROUND((J24+I24)*0.1,0),"#,##0")&amp;"円／請求額："&amp;TEXT(K24,"#,##0")&amp;"円"</f>
        <v/>
      </c>
      <c r="O24">
        <f>A24&amp;"："&amp;B24</f>
        <v/>
      </c>
    </row>
    <row r="25">
      <c r="A25" s="42">
        <f>ROW()-3</f>
        <v/>
      </c>
      <c r="B25" t="inlineStr">
        <is>
          <t>中野陸</t>
        </is>
      </c>
      <c r="C25" s="42" t="inlineStr">
        <is>
          <t>本校</t>
        </is>
      </c>
      <c r="D25" s="42" t="inlineStr">
        <is>
          <t>中1</t>
        </is>
      </c>
      <c r="E25" s="42" t="inlineStr">
        <is>
          <t>個別指導</t>
        </is>
      </c>
      <c r="F25" s="28">
        <f>IFERROR(INDEX(TankaData[1コマ単価],MATCH(E25,TankaData[コース],0)),0)</f>
        <v/>
      </c>
      <c r="G25" s="43" t="n">
        <v>5</v>
      </c>
      <c r="H25" s="29">
        <f>G25*4</f>
        <v/>
      </c>
      <c r="I25" s="28">
        <f>IFERROR(INDEX(TankaData[教材費(標準)],MATCH(E25,TankaData[コース],0)),0)</f>
        <v/>
      </c>
      <c r="J25" s="28">
        <f>F25*H25</f>
        <v/>
      </c>
      <c r="K25" s="28">
        <f>J25+I25+ROUND((J25+I25)*0.1,0)</f>
        <v/>
      </c>
      <c r="L25" t="inlineStr">
        <is>
          <t>seito022@example.com</t>
        </is>
      </c>
      <c r="M25" s="44" t="inlineStr">
        <is>
          <t>📧 Gmailを開く</t>
        </is>
      </c>
      <c r="N25" s="45">
        <f>"教室："&amp;C25&amp;"／コース："&amp;E25&amp;"／コマ数："&amp;H25&amp;"コマ／授業料："&amp;TEXT(J25,"#,##0")&amp;"円／教材費："&amp;TEXT(I25,"#,##0")&amp;"円／消費税："&amp;TEXT(ROUND((J25+I25)*0.1,0),"#,##0")&amp;"円／請求額："&amp;TEXT(K25,"#,##0")&amp;"円"</f>
        <v/>
      </c>
      <c r="O25">
        <f>A25&amp;"："&amp;B25</f>
        <v/>
      </c>
    </row>
    <row r="26">
      <c r="A26" s="42">
        <f>ROW()-3</f>
        <v/>
      </c>
      <c r="B26" t="inlineStr">
        <is>
          <t>橋本颯</t>
        </is>
      </c>
      <c r="C26" s="42" t="inlineStr">
        <is>
          <t>本校</t>
        </is>
      </c>
      <c r="D26" s="42" t="inlineStr">
        <is>
          <t>高2</t>
        </is>
      </c>
      <c r="E26" s="42" t="inlineStr">
        <is>
          <t>個別指導S</t>
        </is>
      </c>
      <c r="F26" s="28">
        <f>IFERROR(INDEX(TankaData[1コマ単価],MATCH(E26,TankaData[コース],0)),0)</f>
        <v/>
      </c>
      <c r="G26" s="43" t="n">
        <v>5</v>
      </c>
      <c r="H26" s="29">
        <f>G26*4</f>
        <v/>
      </c>
      <c r="I26" s="28">
        <f>IFERROR(INDEX(TankaData[教材費(標準)],MATCH(E26,TankaData[コース],0)),0)</f>
        <v/>
      </c>
      <c r="J26" s="28">
        <f>F26*H26</f>
        <v/>
      </c>
      <c r="K26" s="28">
        <f>J26+I26+ROUND((J26+I26)*0.1,0)</f>
        <v/>
      </c>
      <c r="L26" t="inlineStr">
        <is>
          <t>seito023@example.com</t>
        </is>
      </c>
      <c r="M26" s="44" t="inlineStr">
        <is>
          <t>📧 Gmailを開く</t>
        </is>
      </c>
      <c r="N26" s="45">
        <f>"教室："&amp;C26&amp;"／コース："&amp;E26&amp;"／コマ数："&amp;H26&amp;"コマ／授業料："&amp;TEXT(J26,"#,##0")&amp;"円／教材費："&amp;TEXT(I26,"#,##0")&amp;"円／消費税："&amp;TEXT(ROUND((J26+I26)*0.1,0),"#,##0")&amp;"円／請求額："&amp;TEXT(K26,"#,##0")&amp;"円"</f>
        <v/>
      </c>
      <c r="O26">
        <f>A26&amp;"："&amp;B26</f>
        <v/>
      </c>
    </row>
    <row r="27">
      <c r="A27" s="42">
        <f>ROW()-3</f>
        <v/>
      </c>
      <c r="B27" t="inlineStr">
        <is>
          <t>林健太</t>
        </is>
      </c>
      <c r="C27" s="42" t="inlineStr">
        <is>
          <t>本校</t>
        </is>
      </c>
      <c r="D27" s="42" t="inlineStr">
        <is>
          <t>中1</t>
        </is>
      </c>
      <c r="E27" s="42" t="inlineStr">
        <is>
          <t>個別指導S</t>
        </is>
      </c>
      <c r="F27" s="28">
        <f>IFERROR(INDEX(TankaData[1コマ単価],MATCH(E27,TankaData[コース],0)),0)</f>
        <v/>
      </c>
      <c r="G27" s="43" t="n">
        <v>4</v>
      </c>
      <c r="H27" s="29">
        <f>G27*4</f>
        <v/>
      </c>
      <c r="I27" s="28">
        <f>IFERROR(INDEX(TankaData[教材費(標準)],MATCH(E27,TankaData[コース],0)),0)</f>
        <v/>
      </c>
      <c r="J27" s="28">
        <f>F27*H27</f>
        <v/>
      </c>
      <c r="K27" s="28">
        <f>J27+I27+ROUND((J27+I27)*0.1,0)</f>
        <v/>
      </c>
      <c r="L27" t="inlineStr">
        <is>
          <t>seito024@example.com</t>
        </is>
      </c>
      <c r="M27" s="44" t="inlineStr">
        <is>
          <t>📧 Gmailを開く</t>
        </is>
      </c>
      <c r="N27" s="45">
        <f>"教室："&amp;C27&amp;"／コース："&amp;E27&amp;"／コマ数："&amp;H27&amp;"コマ／授業料："&amp;TEXT(J27,"#,##0")&amp;"円／教材費："&amp;TEXT(I27,"#,##0")&amp;"円／消費税："&amp;TEXT(ROUND((J27+I27)*0.1,0),"#,##0")&amp;"円／請求額："&amp;TEXT(K27,"#,##0")&amp;"円"</f>
        <v/>
      </c>
      <c r="O27">
        <f>A27&amp;"："&amp;B27</f>
        <v/>
      </c>
    </row>
    <row r="28">
      <c r="A28" s="42">
        <f>ROW()-3</f>
        <v/>
      </c>
      <c r="B28" t="inlineStr">
        <is>
          <t>金子美咲</t>
        </is>
      </c>
      <c r="C28" s="42" t="inlineStr">
        <is>
          <t>本校</t>
        </is>
      </c>
      <c r="D28" s="42" t="inlineStr">
        <is>
          <t>小6</t>
        </is>
      </c>
      <c r="E28" s="42" t="inlineStr">
        <is>
          <t>映像授業</t>
        </is>
      </c>
      <c r="F28" s="28">
        <f>IFERROR(INDEX(TankaData[1コマ単価],MATCH(E28,TankaData[コース],0)),0)</f>
        <v/>
      </c>
      <c r="G28" s="43" t="n">
        <v>5</v>
      </c>
      <c r="H28" s="29">
        <f>G28*4</f>
        <v/>
      </c>
      <c r="I28" s="28">
        <f>IFERROR(INDEX(TankaData[教材費(標準)],MATCH(E28,TankaData[コース],0)),0)</f>
        <v/>
      </c>
      <c r="J28" s="28">
        <f>F28*H28</f>
        <v/>
      </c>
      <c r="K28" s="28">
        <f>J28+I28+ROUND((J28+I28)*0.1,0)</f>
        <v/>
      </c>
      <c r="L28" t="inlineStr">
        <is>
          <t>seito025@example.com</t>
        </is>
      </c>
      <c r="M28" s="44" t="inlineStr">
        <is>
          <t>📧 Gmailを開く</t>
        </is>
      </c>
      <c r="N28" s="45">
        <f>"教室："&amp;C28&amp;"／コース："&amp;E28&amp;"／コマ数："&amp;H28&amp;"コマ／授業料："&amp;TEXT(J28,"#,##0")&amp;"円／教材費："&amp;TEXT(I28,"#,##0")&amp;"円／消費税："&amp;TEXT(ROUND((J28+I28)*0.1,0),"#,##0")&amp;"円／請求額："&amp;TEXT(K28,"#,##0")&amp;"円"</f>
        <v/>
      </c>
      <c r="O28">
        <f>A28&amp;"："&amp;B28</f>
        <v/>
      </c>
    </row>
    <row r="29">
      <c r="A29" s="42">
        <f>ROW()-3</f>
        <v/>
      </c>
      <c r="B29" t="inlineStr">
        <is>
          <t>山田結翔</t>
        </is>
      </c>
      <c r="C29" s="42" t="inlineStr">
        <is>
          <t>本校</t>
        </is>
      </c>
      <c r="D29" s="42" t="inlineStr">
        <is>
          <t>高3</t>
        </is>
      </c>
      <c r="E29" s="42" t="inlineStr">
        <is>
          <t>集団授業</t>
        </is>
      </c>
      <c r="F29" s="28">
        <f>IFERROR(INDEX(TankaData[1コマ単価],MATCH(E29,TankaData[コース],0)),0)</f>
        <v/>
      </c>
      <c r="G29" s="43" t="n">
        <v>4</v>
      </c>
      <c r="H29" s="29">
        <f>G29*4</f>
        <v/>
      </c>
      <c r="I29" s="28">
        <f>IFERROR(INDEX(TankaData[教材費(標準)],MATCH(E29,TankaData[コース],0)),0)</f>
        <v/>
      </c>
      <c r="J29" s="28">
        <f>F29*H29</f>
        <v/>
      </c>
      <c r="K29" s="28">
        <f>J29+I29+ROUND((J29+I29)*0.1,0)</f>
        <v/>
      </c>
      <c r="L29" t="inlineStr">
        <is>
          <t>seito026@example.com</t>
        </is>
      </c>
      <c r="M29" s="44" t="inlineStr">
        <is>
          <t>📧 Gmailを開く</t>
        </is>
      </c>
      <c r="N29" s="45">
        <f>"教室："&amp;C29&amp;"／コース："&amp;E29&amp;"／コマ数："&amp;H29&amp;"コマ／授業料："&amp;TEXT(J29,"#,##0")&amp;"円／教材費："&amp;TEXT(I29,"#,##0")&amp;"円／消費税："&amp;TEXT(ROUND((J29+I29)*0.1,0),"#,##0")&amp;"円／請求額："&amp;TEXT(K29,"#,##0")&amp;"円"</f>
        <v/>
      </c>
      <c r="O29">
        <f>A29&amp;"："&amp;B29</f>
        <v/>
      </c>
    </row>
    <row r="30">
      <c r="A30" s="42">
        <f>ROW()-3</f>
        <v/>
      </c>
      <c r="B30" t="inlineStr">
        <is>
          <t>田村拓也</t>
        </is>
      </c>
      <c r="C30" s="42" t="inlineStr">
        <is>
          <t>本校</t>
        </is>
      </c>
      <c r="D30" s="42" t="inlineStr">
        <is>
          <t>高3</t>
        </is>
      </c>
      <c r="E30" s="42" t="inlineStr">
        <is>
          <t>映像授業</t>
        </is>
      </c>
      <c r="F30" s="28">
        <f>IFERROR(INDEX(TankaData[1コマ単価],MATCH(E30,TankaData[コース],0)),0)</f>
        <v/>
      </c>
      <c r="G30" s="43" t="n">
        <v>5</v>
      </c>
      <c r="H30" s="29">
        <f>G30*4</f>
        <v/>
      </c>
      <c r="I30" s="28">
        <f>IFERROR(INDEX(TankaData[教材費(標準)],MATCH(E30,TankaData[コース],0)),0)</f>
        <v/>
      </c>
      <c r="J30" s="28">
        <f>F30*H30</f>
        <v/>
      </c>
      <c r="K30" s="28">
        <f>J30+I30+ROUND((J30+I30)*0.1,0)</f>
        <v/>
      </c>
      <c r="L30" t="inlineStr">
        <is>
          <t>seito027@example.com</t>
        </is>
      </c>
      <c r="M30" s="44" t="inlineStr">
        <is>
          <t>📧 Gmailを開く</t>
        </is>
      </c>
      <c r="N30" s="45">
        <f>"教室："&amp;C30&amp;"／コース："&amp;E30&amp;"／コマ数："&amp;H30&amp;"コマ／授業料："&amp;TEXT(J30,"#,##0")&amp;"円／教材費："&amp;TEXT(I30,"#,##0")&amp;"円／消費税："&amp;TEXT(ROUND((J30+I30)*0.1,0),"#,##0")&amp;"円／請求額："&amp;TEXT(K30,"#,##0")&amp;"円"</f>
        <v/>
      </c>
      <c r="O30">
        <f>A30&amp;"："&amp;B30</f>
        <v/>
      </c>
    </row>
    <row r="31">
      <c r="A31" s="42">
        <f>ROW()-3</f>
        <v/>
      </c>
      <c r="B31" t="inlineStr">
        <is>
          <t>田中琴音</t>
        </is>
      </c>
      <c r="C31" s="42" t="inlineStr">
        <is>
          <t>本校</t>
        </is>
      </c>
      <c r="D31" s="42" t="inlineStr">
        <is>
          <t>高2</t>
        </is>
      </c>
      <c r="E31" s="42" t="inlineStr">
        <is>
          <t>個別指導</t>
        </is>
      </c>
      <c r="F31" s="28">
        <f>IFERROR(INDEX(TankaData[1コマ単価],MATCH(E31,TankaData[コース],0)),0)</f>
        <v/>
      </c>
      <c r="G31" s="43" t="n">
        <v>4</v>
      </c>
      <c r="H31" s="29">
        <f>G31*4</f>
        <v/>
      </c>
      <c r="I31" s="28">
        <f>IFERROR(INDEX(TankaData[教材費(標準)],MATCH(E31,TankaData[コース],0)),0)</f>
        <v/>
      </c>
      <c r="J31" s="28">
        <f>F31*H31</f>
        <v/>
      </c>
      <c r="K31" s="28">
        <f>J31+I31+ROUND((J31+I31)*0.1,0)</f>
        <v/>
      </c>
      <c r="L31" t="inlineStr">
        <is>
          <t>seito028@example.com</t>
        </is>
      </c>
      <c r="M31" s="44" t="inlineStr">
        <is>
          <t>📧 Gmailを開く</t>
        </is>
      </c>
      <c r="N31" s="45">
        <f>"教室："&amp;C31&amp;"／コース："&amp;E31&amp;"／コマ数："&amp;H31&amp;"コマ／授業料："&amp;TEXT(J31,"#,##0")&amp;"円／教材費："&amp;TEXT(I31,"#,##0")&amp;"円／消費税："&amp;TEXT(ROUND((J31+I31)*0.1,0),"#,##0")&amp;"円／請求額："&amp;TEXT(K31,"#,##0")&amp;"円"</f>
        <v/>
      </c>
      <c r="O31">
        <f>A31&amp;"："&amp;B31</f>
        <v/>
      </c>
    </row>
    <row r="32">
      <c r="A32" s="42">
        <f>ROW()-3</f>
        <v/>
      </c>
      <c r="B32" t="inlineStr">
        <is>
          <t>近藤悠斗</t>
        </is>
      </c>
      <c r="C32" s="42" t="inlineStr">
        <is>
          <t>本校</t>
        </is>
      </c>
      <c r="D32" s="42" t="inlineStr">
        <is>
          <t>高2</t>
        </is>
      </c>
      <c r="E32" s="42" t="inlineStr">
        <is>
          <t>集団授業</t>
        </is>
      </c>
      <c r="F32" s="28">
        <f>IFERROR(INDEX(TankaData[1コマ単価],MATCH(E32,TankaData[コース],0)),0)</f>
        <v/>
      </c>
      <c r="G32" s="43" t="n">
        <v>2</v>
      </c>
      <c r="H32" s="29">
        <f>G32*4</f>
        <v/>
      </c>
      <c r="I32" s="28">
        <f>IFERROR(INDEX(TankaData[教材費(標準)],MATCH(E32,TankaData[コース],0)),0)</f>
        <v/>
      </c>
      <c r="J32" s="28">
        <f>F32*H32</f>
        <v/>
      </c>
      <c r="K32" s="28">
        <f>J32+I32+ROUND((J32+I32)*0.1,0)</f>
        <v/>
      </c>
      <c r="L32" t="inlineStr">
        <is>
          <t>seito029@example.com</t>
        </is>
      </c>
      <c r="M32" s="44" t="inlineStr">
        <is>
          <t>📧 Gmailを開く</t>
        </is>
      </c>
      <c r="N32" s="45">
        <f>"教室："&amp;C32&amp;"／コース："&amp;E32&amp;"／コマ数："&amp;H32&amp;"コマ／授業料："&amp;TEXT(J32,"#,##0")&amp;"円／教材費："&amp;TEXT(I32,"#,##0")&amp;"円／消費税："&amp;TEXT(ROUND((J32+I32)*0.1,0),"#,##0")&amp;"円／請求額："&amp;TEXT(K32,"#,##0")&amp;"円"</f>
        <v/>
      </c>
      <c r="O32">
        <f>A32&amp;"："&amp;B32</f>
        <v/>
      </c>
    </row>
    <row r="33">
      <c r="A33" s="42">
        <f>ROW()-3</f>
        <v/>
      </c>
      <c r="B33" t="inlineStr">
        <is>
          <t>田中遥</t>
        </is>
      </c>
      <c r="C33" s="42" t="inlineStr">
        <is>
          <t>本校</t>
        </is>
      </c>
      <c r="D33" s="42" t="inlineStr">
        <is>
          <t>中2</t>
        </is>
      </c>
      <c r="E33" s="42" t="inlineStr">
        <is>
          <t>映像授業</t>
        </is>
      </c>
      <c r="F33" s="28">
        <f>IFERROR(INDEX(TankaData[1コマ単価],MATCH(E33,TankaData[コース],0)),0)</f>
        <v/>
      </c>
      <c r="G33" s="43" t="n">
        <v>2</v>
      </c>
      <c r="H33" s="29">
        <f>G33*4</f>
        <v/>
      </c>
      <c r="I33" s="28">
        <f>IFERROR(INDEX(TankaData[教材費(標準)],MATCH(E33,TankaData[コース],0)),0)</f>
        <v/>
      </c>
      <c r="J33" s="28">
        <f>F33*H33</f>
        <v/>
      </c>
      <c r="K33" s="28">
        <f>J33+I33+ROUND((J33+I33)*0.1,0)</f>
        <v/>
      </c>
      <c r="L33" t="inlineStr">
        <is>
          <t>seito030@example.com</t>
        </is>
      </c>
      <c r="M33" s="44" t="inlineStr">
        <is>
          <t>📧 Gmailを開く</t>
        </is>
      </c>
      <c r="N33" s="45">
        <f>"教室："&amp;C33&amp;"／コース："&amp;E33&amp;"／コマ数："&amp;H33&amp;"コマ／授業料："&amp;TEXT(J33,"#,##0")&amp;"円／教材費："&amp;TEXT(I33,"#,##0")&amp;"円／消費税："&amp;TEXT(ROUND((J33+I33)*0.1,0),"#,##0")&amp;"円／請求額："&amp;TEXT(K33,"#,##0")&amp;"円"</f>
        <v/>
      </c>
      <c r="O33">
        <f>A33&amp;"："&amp;B33</f>
        <v/>
      </c>
    </row>
    <row r="34">
      <c r="A34" s="42">
        <f>ROW()-3</f>
        <v/>
      </c>
      <c r="B34" t="inlineStr">
        <is>
          <t>森結衣</t>
        </is>
      </c>
      <c r="C34" s="42" t="inlineStr">
        <is>
          <t>本校</t>
        </is>
      </c>
      <c r="D34" s="42" t="inlineStr">
        <is>
          <t>中2</t>
        </is>
      </c>
      <c r="E34" s="42" t="inlineStr">
        <is>
          <t>映像授業</t>
        </is>
      </c>
      <c r="F34" s="28">
        <f>IFERROR(INDEX(TankaData[1コマ単価],MATCH(E34,TankaData[コース],0)),0)</f>
        <v/>
      </c>
      <c r="G34" s="43" t="n">
        <v>1</v>
      </c>
      <c r="H34" s="29">
        <f>G34*4</f>
        <v/>
      </c>
      <c r="I34" s="28">
        <f>IFERROR(INDEX(TankaData[教材費(標準)],MATCH(E34,TankaData[コース],0)),0)</f>
        <v/>
      </c>
      <c r="J34" s="28">
        <f>F34*H34</f>
        <v/>
      </c>
      <c r="K34" s="28">
        <f>J34+I34+ROUND((J34+I34)*0.1,0)</f>
        <v/>
      </c>
      <c r="L34" t="inlineStr">
        <is>
          <t>seito031@example.com</t>
        </is>
      </c>
      <c r="M34" s="44" t="inlineStr">
        <is>
          <t>📧 Gmailを開く</t>
        </is>
      </c>
      <c r="N34" s="45">
        <f>"教室："&amp;C34&amp;"／コース："&amp;E34&amp;"／コマ数："&amp;H34&amp;"コマ／授業料："&amp;TEXT(J34,"#,##0")&amp;"円／教材費："&amp;TEXT(I34,"#,##0")&amp;"円／消費税："&amp;TEXT(ROUND((J34+I34)*0.1,0),"#,##0")&amp;"円／請求額："&amp;TEXT(K34,"#,##0")&amp;"円"</f>
        <v/>
      </c>
      <c r="O34">
        <f>A34&amp;"："&amp;B34</f>
        <v/>
      </c>
    </row>
    <row r="35">
      <c r="A35" s="42">
        <f>ROW()-3</f>
        <v/>
      </c>
      <c r="B35" t="inlineStr">
        <is>
          <t>松本紬</t>
        </is>
      </c>
      <c r="C35" s="42" t="inlineStr">
        <is>
          <t>本校</t>
        </is>
      </c>
      <c r="D35" s="42" t="inlineStr">
        <is>
          <t>中2</t>
        </is>
      </c>
      <c r="E35" s="42" t="inlineStr">
        <is>
          <t>個別指導</t>
        </is>
      </c>
      <c r="F35" s="28">
        <f>IFERROR(INDEX(TankaData[1コマ単価],MATCH(E35,TankaData[コース],0)),0)</f>
        <v/>
      </c>
      <c r="G35" s="43" t="n">
        <v>3</v>
      </c>
      <c r="H35" s="29">
        <f>G35*4</f>
        <v/>
      </c>
      <c r="I35" s="28">
        <f>IFERROR(INDEX(TankaData[教材費(標準)],MATCH(E35,TankaData[コース],0)),0)</f>
        <v/>
      </c>
      <c r="J35" s="28">
        <f>F35*H35</f>
        <v/>
      </c>
      <c r="K35" s="28">
        <f>J35+I35+ROUND((J35+I35)*0.1,0)</f>
        <v/>
      </c>
      <c r="L35" t="inlineStr">
        <is>
          <t>seito032@example.com</t>
        </is>
      </c>
      <c r="M35" s="44" t="inlineStr">
        <is>
          <t>📧 Gmailを開く</t>
        </is>
      </c>
      <c r="N35" s="45">
        <f>"教室："&amp;C35&amp;"／コース："&amp;E35&amp;"／コマ数："&amp;H35&amp;"コマ／授業料："&amp;TEXT(J35,"#,##0")&amp;"円／教材費："&amp;TEXT(I35,"#,##0")&amp;"円／消費税："&amp;TEXT(ROUND((J35+I35)*0.1,0),"#,##0")&amp;"円／請求額："&amp;TEXT(K35,"#,##0")&amp;"円"</f>
        <v/>
      </c>
      <c r="O35">
        <f>A35&amp;"："&amp;B35</f>
        <v/>
      </c>
    </row>
    <row r="36">
      <c r="A36" s="42">
        <f>ROW()-3</f>
        <v/>
      </c>
      <c r="B36" t="inlineStr">
        <is>
          <t>後藤翼</t>
        </is>
      </c>
      <c r="C36" s="42" t="inlineStr">
        <is>
          <t>本校</t>
        </is>
      </c>
      <c r="D36" s="42" t="inlineStr">
        <is>
          <t>中3</t>
        </is>
      </c>
      <c r="E36" s="42" t="inlineStr">
        <is>
          <t>集団授業</t>
        </is>
      </c>
      <c r="F36" s="28">
        <f>IFERROR(INDEX(TankaData[1コマ単価],MATCH(E36,TankaData[コース],0)),0)</f>
        <v/>
      </c>
      <c r="G36" s="43" t="n">
        <v>5</v>
      </c>
      <c r="H36" s="29">
        <f>G36*4</f>
        <v/>
      </c>
      <c r="I36" s="28">
        <f>IFERROR(INDEX(TankaData[教材費(標準)],MATCH(E36,TankaData[コース],0)),0)</f>
        <v/>
      </c>
      <c r="J36" s="28">
        <f>F36*H36</f>
        <v/>
      </c>
      <c r="K36" s="28">
        <f>J36+I36+ROUND((J36+I36)*0.1,0)</f>
        <v/>
      </c>
      <c r="L36" t="inlineStr">
        <is>
          <t>seito033@example.com</t>
        </is>
      </c>
      <c r="M36" s="44" t="inlineStr">
        <is>
          <t>📧 Gmailを開く</t>
        </is>
      </c>
      <c r="N36" s="45">
        <f>"教室："&amp;C36&amp;"／コース："&amp;E36&amp;"／コマ数："&amp;H36&amp;"コマ／授業料："&amp;TEXT(J36,"#,##0")&amp;"円／教材費："&amp;TEXT(I36,"#,##0")&amp;"円／消費税："&amp;TEXT(ROUND((J36+I36)*0.1,0),"#,##0")&amp;"円／請求額："&amp;TEXT(K36,"#,##0")&amp;"円"</f>
        <v/>
      </c>
      <c r="O36">
        <f>A36&amp;"："&amp;B36</f>
        <v/>
      </c>
    </row>
    <row r="37">
      <c r="A37" s="42">
        <f>ROW()-3</f>
        <v/>
      </c>
      <c r="B37" t="inlineStr">
        <is>
          <t>小野楓</t>
        </is>
      </c>
      <c r="C37" s="42" t="inlineStr">
        <is>
          <t>本校</t>
        </is>
      </c>
      <c r="D37" s="42" t="inlineStr">
        <is>
          <t>小5</t>
        </is>
      </c>
      <c r="E37" s="42" t="inlineStr">
        <is>
          <t>個別指導</t>
        </is>
      </c>
      <c r="F37" s="28">
        <f>IFERROR(INDEX(TankaData[1コマ単価],MATCH(E37,TankaData[コース],0)),0)</f>
        <v/>
      </c>
      <c r="G37" s="43" t="n">
        <v>2</v>
      </c>
      <c r="H37" s="29">
        <f>G37*4</f>
        <v/>
      </c>
      <c r="I37" s="28">
        <f>IFERROR(INDEX(TankaData[教材費(標準)],MATCH(E37,TankaData[コース],0)),0)</f>
        <v/>
      </c>
      <c r="J37" s="28">
        <f>F37*H37</f>
        <v/>
      </c>
      <c r="K37" s="28">
        <f>J37+I37+ROUND((J37+I37)*0.1,0)</f>
        <v/>
      </c>
      <c r="L37" t="inlineStr">
        <is>
          <t>seito034@example.com</t>
        </is>
      </c>
      <c r="M37" s="44" t="inlineStr">
        <is>
          <t>📧 Gmailを開く</t>
        </is>
      </c>
      <c r="N37" s="45">
        <f>"教室："&amp;C37&amp;"／コース："&amp;E37&amp;"／コマ数："&amp;H37&amp;"コマ／授業料："&amp;TEXT(J37,"#,##0")&amp;"円／教材費："&amp;TEXT(I37,"#,##0")&amp;"円／消費税："&amp;TEXT(ROUND((J37+I37)*0.1,0),"#,##0")&amp;"円／請求額："&amp;TEXT(K37,"#,##0")&amp;"円"</f>
        <v/>
      </c>
      <c r="O37">
        <f>A37&amp;"："&amp;B37</f>
        <v/>
      </c>
    </row>
    <row r="38">
      <c r="A38" s="42">
        <f>ROW()-3</f>
        <v/>
      </c>
      <c r="B38" t="inlineStr">
        <is>
          <t>山下悠斗</t>
        </is>
      </c>
      <c r="C38" s="42" t="inlineStr">
        <is>
          <t>本校</t>
        </is>
      </c>
      <c r="D38" s="42" t="inlineStr">
        <is>
          <t>中1</t>
        </is>
      </c>
      <c r="E38" s="42" t="inlineStr">
        <is>
          <t>映像授業</t>
        </is>
      </c>
      <c r="F38" s="28">
        <f>IFERROR(INDEX(TankaData[1コマ単価],MATCH(E38,TankaData[コース],0)),0)</f>
        <v/>
      </c>
      <c r="G38" s="43" t="n">
        <v>2</v>
      </c>
      <c r="H38" s="29">
        <f>G38*4</f>
        <v/>
      </c>
      <c r="I38" s="28">
        <f>IFERROR(INDEX(TankaData[教材費(標準)],MATCH(E38,TankaData[コース],0)),0)</f>
        <v/>
      </c>
      <c r="J38" s="28">
        <f>F38*H38</f>
        <v/>
      </c>
      <c r="K38" s="28">
        <f>J38+I38+ROUND((J38+I38)*0.1,0)</f>
        <v/>
      </c>
      <c r="L38" t="inlineStr">
        <is>
          <t>seito035@example.com</t>
        </is>
      </c>
      <c r="M38" s="44" t="inlineStr">
        <is>
          <t>📧 Gmailを開く</t>
        </is>
      </c>
      <c r="N38" s="45">
        <f>"教室："&amp;C38&amp;"／コース："&amp;E38&amp;"／コマ数："&amp;H38&amp;"コマ／授業料："&amp;TEXT(J38,"#,##0")&amp;"円／教材費："&amp;TEXT(I38,"#,##0")&amp;"円／消費税："&amp;TEXT(ROUND((J38+I38)*0.1,0),"#,##0")&amp;"円／請求額："&amp;TEXT(K38,"#,##0")&amp;"円"</f>
        <v/>
      </c>
      <c r="O38">
        <f>A38&amp;"："&amp;B38</f>
        <v/>
      </c>
    </row>
    <row r="39">
      <c r="A39" s="42">
        <f>ROW()-3</f>
        <v/>
      </c>
      <c r="B39" t="inlineStr">
        <is>
          <t>藤田蓮</t>
        </is>
      </c>
      <c r="C39" s="42" t="inlineStr">
        <is>
          <t>本校</t>
        </is>
      </c>
      <c r="D39" s="42" t="inlineStr">
        <is>
          <t>中1</t>
        </is>
      </c>
      <c r="E39" s="42" t="inlineStr">
        <is>
          <t>個別指導S</t>
        </is>
      </c>
      <c r="F39" s="28">
        <f>IFERROR(INDEX(TankaData[1コマ単価],MATCH(E39,TankaData[コース],0)),0)</f>
        <v/>
      </c>
      <c r="G39" s="43" t="n">
        <v>4</v>
      </c>
      <c r="H39" s="29">
        <f>G39*4</f>
        <v/>
      </c>
      <c r="I39" s="28">
        <f>IFERROR(INDEX(TankaData[教材費(標準)],MATCH(E39,TankaData[コース],0)),0)</f>
        <v/>
      </c>
      <c r="J39" s="28">
        <f>F39*H39</f>
        <v/>
      </c>
      <c r="K39" s="28">
        <f>J39+I39+ROUND((J39+I39)*0.1,0)</f>
        <v/>
      </c>
      <c r="L39" t="inlineStr">
        <is>
          <t>seito036@example.com</t>
        </is>
      </c>
      <c r="M39" s="44" t="inlineStr">
        <is>
          <t>📧 Gmailを開く</t>
        </is>
      </c>
      <c r="N39" s="45">
        <f>"教室："&amp;C39&amp;"／コース："&amp;E39&amp;"／コマ数："&amp;H39&amp;"コマ／授業料："&amp;TEXT(J39,"#,##0")&amp;"円／教材費："&amp;TEXT(I39,"#,##0")&amp;"円／消費税："&amp;TEXT(ROUND((J39+I39)*0.1,0),"#,##0")&amp;"円／請求額："&amp;TEXT(K39,"#,##0")&amp;"円"</f>
        <v/>
      </c>
      <c r="O39">
        <f>A39&amp;"："&amp;B39</f>
        <v/>
      </c>
    </row>
    <row r="40">
      <c r="A40" s="42">
        <f>ROW()-3</f>
        <v/>
      </c>
      <c r="B40" t="inlineStr">
        <is>
          <t>渡辺美結</t>
        </is>
      </c>
      <c r="C40" s="42" t="inlineStr">
        <is>
          <t>本校</t>
        </is>
      </c>
      <c r="D40" s="42" t="inlineStr">
        <is>
          <t>高1</t>
        </is>
      </c>
      <c r="E40" s="42" t="inlineStr">
        <is>
          <t>集団授業</t>
        </is>
      </c>
      <c r="F40" s="28">
        <f>IFERROR(INDEX(TankaData[1コマ単価],MATCH(E40,TankaData[コース],0)),0)</f>
        <v/>
      </c>
      <c r="G40" s="43" t="n">
        <v>5</v>
      </c>
      <c r="H40" s="29">
        <f>G40*4</f>
        <v/>
      </c>
      <c r="I40" s="28">
        <f>IFERROR(INDEX(TankaData[教材費(標準)],MATCH(E40,TankaData[コース],0)),0)</f>
        <v/>
      </c>
      <c r="J40" s="28">
        <f>F40*H40</f>
        <v/>
      </c>
      <c r="K40" s="28">
        <f>J40+I40+ROUND((J40+I40)*0.1,0)</f>
        <v/>
      </c>
      <c r="L40" t="inlineStr">
        <is>
          <t>seito037@example.com</t>
        </is>
      </c>
      <c r="M40" s="44" t="inlineStr">
        <is>
          <t>📧 Gmailを開く</t>
        </is>
      </c>
      <c r="N40" s="45">
        <f>"教室："&amp;C40&amp;"／コース："&amp;E40&amp;"／コマ数："&amp;H40&amp;"コマ／授業料："&amp;TEXT(J40,"#,##0")&amp;"円／教材費："&amp;TEXT(I40,"#,##0")&amp;"円／消費税："&amp;TEXT(ROUND((J40+I40)*0.1,0),"#,##0")&amp;"円／請求額："&amp;TEXT(K40,"#,##0")&amp;"円"</f>
        <v/>
      </c>
      <c r="O40">
        <f>A40&amp;"："&amp;B40</f>
        <v/>
      </c>
    </row>
    <row r="41">
      <c r="A41" s="42">
        <f>ROW()-3</f>
        <v/>
      </c>
      <c r="B41" t="inlineStr">
        <is>
          <t>斎藤葵</t>
        </is>
      </c>
      <c r="C41" s="42" t="inlineStr">
        <is>
          <t>本校</t>
        </is>
      </c>
      <c r="D41" s="42" t="inlineStr">
        <is>
          <t>高2</t>
        </is>
      </c>
      <c r="E41" s="42" t="inlineStr">
        <is>
          <t>映像授業</t>
        </is>
      </c>
      <c r="F41" s="28">
        <f>IFERROR(INDEX(TankaData[1コマ単価],MATCH(E41,TankaData[コース],0)),0)</f>
        <v/>
      </c>
      <c r="G41" s="43" t="n">
        <v>1</v>
      </c>
      <c r="H41" s="29">
        <f>G41*4</f>
        <v/>
      </c>
      <c r="I41" s="28">
        <f>IFERROR(INDEX(TankaData[教材費(標準)],MATCH(E41,TankaData[コース],0)),0)</f>
        <v/>
      </c>
      <c r="J41" s="28">
        <f>F41*H41</f>
        <v/>
      </c>
      <c r="K41" s="28">
        <f>J41+I41+ROUND((J41+I41)*0.1,0)</f>
        <v/>
      </c>
      <c r="L41" t="inlineStr">
        <is>
          <t>seito038@example.com</t>
        </is>
      </c>
      <c r="M41" s="44" t="inlineStr">
        <is>
          <t>📧 Gmailを開く</t>
        </is>
      </c>
      <c r="N41" s="45">
        <f>"教室："&amp;C41&amp;"／コース："&amp;E41&amp;"／コマ数："&amp;H41&amp;"コマ／授業料："&amp;TEXT(J41,"#,##0")&amp;"円／教材費："&amp;TEXT(I41,"#,##0")&amp;"円／消費税："&amp;TEXT(ROUND((J41+I41)*0.1,0),"#,##0")&amp;"円／請求額："&amp;TEXT(K41,"#,##0")&amp;"円"</f>
        <v/>
      </c>
      <c r="O41">
        <f>A41&amp;"："&amp;B41</f>
        <v/>
      </c>
    </row>
    <row r="42">
      <c r="A42" s="42">
        <f>ROW()-3</f>
        <v/>
      </c>
      <c r="B42" t="inlineStr">
        <is>
          <t>岡本蒼</t>
        </is>
      </c>
      <c r="C42" s="42" t="inlineStr">
        <is>
          <t>本校</t>
        </is>
      </c>
      <c r="D42" s="42" t="inlineStr">
        <is>
          <t>中1</t>
        </is>
      </c>
      <c r="E42" s="42" t="inlineStr">
        <is>
          <t>映像授業</t>
        </is>
      </c>
      <c r="F42" s="28">
        <f>IFERROR(INDEX(TankaData[1コマ単価],MATCH(E42,TankaData[コース],0)),0)</f>
        <v/>
      </c>
      <c r="G42" s="43" t="n">
        <v>4</v>
      </c>
      <c r="H42" s="29">
        <f>G42*4</f>
        <v/>
      </c>
      <c r="I42" s="28">
        <f>IFERROR(INDEX(TankaData[教材費(標準)],MATCH(E42,TankaData[コース],0)),0)</f>
        <v/>
      </c>
      <c r="J42" s="28">
        <f>F42*H42</f>
        <v/>
      </c>
      <c r="K42" s="28">
        <f>J42+I42+ROUND((J42+I42)*0.1,0)</f>
        <v/>
      </c>
      <c r="L42" t="inlineStr">
        <is>
          <t>seito039@example.com</t>
        </is>
      </c>
      <c r="M42" s="44" t="inlineStr">
        <is>
          <t>📧 Gmailを開く</t>
        </is>
      </c>
      <c r="N42" s="45">
        <f>"教室："&amp;C42&amp;"／コース："&amp;E42&amp;"／コマ数："&amp;H42&amp;"コマ／授業料："&amp;TEXT(J42,"#,##0")&amp;"円／教材費："&amp;TEXT(I42,"#,##0")&amp;"円／消費税："&amp;TEXT(ROUND((J42+I42)*0.1,0),"#,##0")&amp;"円／請求額："&amp;TEXT(K42,"#,##0")&amp;"円"</f>
        <v/>
      </c>
      <c r="O42">
        <f>A42&amp;"："&amp;B42</f>
        <v/>
      </c>
    </row>
    <row r="43">
      <c r="A43" s="42">
        <f>ROW()-3</f>
        <v/>
      </c>
      <c r="B43" t="inlineStr">
        <is>
          <t>小林美月</t>
        </is>
      </c>
      <c r="C43" s="42" t="inlineStr">
        <is>
          <t>本校</t>
        </is>
      </c>
      <c r="D43" s="42" t="inlineStr">
        <is>
          <t>小4</t>
        </is>
      </c>
      <c r="E43" s="42" t="inlineStr">
        <is>
          <t>映像授業</t>
        </is>
      </c>
      <c r="F43" s="28">
        <f>IFERROR(INDEX(TankaData[1コマ単価],MATCH(E43,TankaData[コース],0)),0)</f>
        <v/>
      </c>
      <c r="G43" s="43" t="n">
        <v>4</v>
      </c>
      <c r="H43" s="29">
        <f>G43*4</f>
        <v/>
      </c>
      <c r="I43" s="28">
        <f>IFERROR(INDEX(TankaData[教材費(標準)],MATCH(E43,TankaData[コース],0)),0)</f>
        <v/>
      </c>
      <c r="J43" s="28">
        <f>F43*H43</f>
        <v/>
      </c>
      <c r="K43" s="28">
        <f>J43+I43+ROUND((J43+I43)*0.1,0)</f>
        <v/>
      </c>
      <c r="L43" t="inlineStr">
        <is>
          <t>seito040@example.com</t>
        </is>
      </c>
      <c r="M43" s="44" t="inlineStr">
        <is>
          <t>📧 Gmailを開く</t>
        </is>
      </c>
      <c r="N43" s="45">
        <f>"教室："&amp;C43&amp;"／コース："&amp;E43&amp;"／コマ数："&amp;H43&amp;"コマ／授業料："&amp;TEXT(J43,"#,##0")&amp;"円／教材費："&amp;TEXT(I43,"#,##0")&amp;"円／消費税："&amp;TEXT(ROUND((J43+I43)*0.1,0),"#,##0")&amp;"円／請求額："&amp;TEXT(K43,"#,##0")&amp;"円"</f>
        <v/>
      </c>
      <c r="O43">
        <f>A43&amp;"："&amp;B43</f>
        <v/>
      </c>
    </row>
    <row r="44">
      <c r="A44" s="42">
        <f>ROW()-3</f>
        <v/>
      </c>
      <c r="B44" t="inlineStr">
        <is>
          <t>渡辺愛</t>
        </is>
      </c>
      <c r="C44" s="42" t="inlineStr">
        <is>
          <t>本校</t>
        </is>
      </c>
      <c r="D44" s="42" t="inlineStr">
        <is>
          <t>小4</t>
        </is>
      </c>
      <c r="E44" s="42" t="inlineStr">
        <is>
          <t>集団授業</t>
        </is>
      </c>
      <c r="F44" s="28">
        <f>IFERROR(INDEX(TankaData[1コマ単価],MATCH(E44,TankaData[コース],0)),0)</f>
        <v/>
      </c>
      <c r="G44" s="43" t="n">
        <v>3</v>
      </c>
      <c r="H44" s="29">
        <f>G44*4</f>
        <v/>
      </c>
      <c r="I44" s="28">
        <f>IFERROR(INDEX(TankaData[教材費(標準)],MATCH(E44,TankaData[コース],0)),0)</f>
        <v/>
      </c>
      <c r="J44" s="28">
        <f>F44*H44</f>
        <v/>
      </c>
      <c r="K44" s="28">
        <f>J44+I44+ROUND((J44+I44)*0.1,0)</f>
        <v/>
      </c>
      <c r="L44" t="inlineStr">
        <is>
          <t>seito041@example.com</t>
        </is>
      </c>
      <c r="M44" s="44" t="inlineStr">
        <is>
          <t>📧 Gmailを開く</t>
        </is>
      </c>
      <c r="N44" s="45">
        <f>"教室："&amp;C44&amp;"／コース："&amp;E44&amp;"／コマ数："&amp;H44&amp;"コマ／授業料："&amp;TEXT(J44,"#,##0")&amp;"円／教材費："&amp;TEXT(I44,"#,##0")&amp;"円／消費税："&amp;TEXT(ROUND((J44+I44)*0.1,0),"#,##0")&amp;"円／請求額："&amp;TEXT(K44,"#,##0")&amp;"円"</f>
        <v/>
      </c>
      <c r="O44">
        <f>A44&amp;"："&amp;B44</f>
        <v/>
      </c>
    </row>
    <row r="45">
      <c r="A45" s="42">
        <f>ROW()-3</f>
        <v/>
      </c>
      <c r="B45" t="inlineStr">
        <is>
          <t>高橋大翔</t>
        </is>
      </c>
      <c r="C45" s="42" t="inlineStr">
        <is>
          <t>本校</t>
        </is>
      </c>
      <c r="D45" s="42" t="inlineStr">
        <is>
          <t>高1</t>
        </is>
      </c>
      <c r="E45" s="42" t="inlineStr">
        <is>
          <t>映像授業</t>
        </is>
      </c>
      <c r="F45" s="28">
        <f>IFERROR(INDEX(TankaData[1コマ単価],MATCH(E45,TankaData[コース],0)),0)</f>
        <v/>
      </c>
      <c r="G45" s="43" t="n">
        <v>5</v>
      </c>
      <c r="H45" s="29">
        <f>G45*4</f>
        <v/>
      </c>
      <c r="I45" s="28">
        <f>IFERROR(INDEX(TankaData[教材費(標準)],MATCH(E45,TankaData[コース],0)),0)</f>
        <v/>
      </c>
      <c r="J45" s="28">
        <f>F45*H45</f>
        <v/>
      </c>
      <c r="K45" s="28">
        <f>J45+I45+ROUND((J45+I45)*0.1,0)</f>
        <v/>
      </c>
      <c r="L45" t="inlineStr">
        <is>
          <t>seito042@example.com</t>
        </is>
      </c>
      <c r="M45" s="44" t="inlineStr">
        <is>
          <t>📧 Gmailを開く</t>
        </is>
      </c>
      <c r="N45" s="45">
        <f>"教室："&amp;C45&amp;"／コース："&amp;E45&amp;"／コマ数："&amp;H45&amp;"コマ／授業料："&amp;TEXT(J45,"#,##0")&amp;"円／教材費："&amp;TEXT(I45,"#,##0")&amp;"円／消費税："&amp;TEXT(ROUND((J45+I45)*0.1,0),"#,##0")&amp;"円／請求額："&amp;TEXT(K45,"#,##0")&amp;"円"</f>
        <v/>
      </c>
      <c r="O45">
        <f>A45&amp;"："&amp;B45</f>
        <v/>
      </c>
    </row>
    <row r="46">
      <c r="A46" s="42">
        <f>ROW()-3</f>
        <v/>
      </c>
      <c r="B46" t="inlineStr">
        <is>
          <t>田中詩織</t>
        </is>
      </c>
      <c r="C46" s="42" t="inlineStr">
        <is>
          <t>本校</t>
        </is>
      </c>
      <c r="D46" s="42" t="inlineStr">
        <is>
          <t>高3</t>
        </is>
      </c>
      <c r="E46" s="42" t="inlineStr">
        <is>
          <t>個別指導</t>
        </is>
      </c>
      <c r="F46" s="28">
        <f>IFERROR(INDEX(TankaData[1コマ単価],MATCH(E46,TankaData[コース],0)),0)</f>
        <v/>
      </c>
      <c r="G46" s="43" t="n">
        <v>4</v>
      </c>
      <c r="H46" s="29">
        <f>G46*4</f>
        <v/>
      </c>
      <c r="I46" s="28">
        <f>IFERROR(INDEX(TankaData[教材費(標準)],MATCH(E46,TankaData[コース],0)),0)</f>
        <v/>
      </c>
      <c r="J46" s="28">
        <f>F46*H46</f>
        <v/>
      </c>
      <c r="K46" s="28">
        <f>J46+I46+ROUND((J46+I46)*0.1,0)</f>
        <v/>
      </c>
      <c r="L46" t="inlineStr">
        <is>
          <t>seito043@example.com</t>
        </is>
      </c>
      <c r="M46" s="44" t="inlineStr">
        <is>
          <t>📧 Gmailを開く</t>
        </is>
      </c>
      <c r="N46" s="45">
        <f>"教室："&amp;C46&amp;"／コース："&amp;E46&amp;"／コマ数："&amp;H46&amp;"コマ／授業料："&amp;TEXT(J46,"#,##0")&amp;"円／教材費："&amp;TEXT(I46,"#,##0")&amp;"円／消費税："&amp;TEXT(ROUND((J46+I46)*0.1,0),"#,##0")&amp;"円／請求額："&amp;TEXT(K46,"#,##0")&amp;"円"</f>
        <v/>
      </c>
      <c r="O46">
        <f>A46&amp;"："&amp;B46</f>
        <v/>
      </c>
    </row>
    <row r="47">
      <c r="A47" s="42">
        <f>ROW()-3</f>
        <v/>
      </c>
      <c r="B47" t="inlineStr">
        <is>
          <t>井上美咲</t>
        </is>
      </c>
      <c r="C47" s="42" t="inlineStr">
        <is>
          <t>本校</t>
        </is>
      </c>
      <c r="D47" s="42" t="inlineStr">
        <is>
          <t>中1</t>
        </is>
      </c>
      <c r="E47" s="42" t="inlineStr">
        <is>
          <t>集団授業</t>
        </is>
      </c>
      <c r="F47" s="28">
        <f>IFERROR(INDEX(TankaData[1コマ単価],MATCH(E47,TankaData[コース],0)),0)</f>
        <v/>
      </c>
      <c r="G47" s="43" t="n">
        <v>4</v>
      </c>
      <c r="H47" s="29">
        <f>G47*4</f>
        <v/>
      </c>
      <c r="I47" s="28">
        <f>IFERROR(INDEX(TankaData[教材費(標準)],MATCH(E47,TankaData[コース],0)),0)</f>
        <v/>
      </c>
      <c r="J47" s="28">
        <f>F47*H47</f>
        <v/>
      </c>
      <c r="K47" s="28">
        <f>J47+I47+ROUND((J47+I47)*0.1,0)</f>
        <v/>
      </c>
      <c r="L47" t="inlineStr">
        <is>
          <t>seito044@example.com</t>
        </is>
      </c>
      <c r="M47" s="44" t="inlineStr">
        <is>
          <t>📧 Gmailを開く</t>
        </is>
      </c>
      <c r="N47" s="45">
        <f>"教室："&amp;C47&amp;"／コース："&amp;E47&amp;"／コマ数："&amp;H47&amp;"コマ／授業料："&amp;TEXT(J47,"#,##0")&amp;"円／教材費："&amp;TEXT(I47,"#,##0")&amp;"円／消費税："&amp;TEXT(ROUND((J47+I47)*0.1,0),"#,##0")&amp;"円／請求額："&amp;TEXT(K47,"#,##0")&amp;"円"</f>
        <v/>
      </c>
      <c r="O47">
        <f>A47&amp;"："&amp;B47</f>
        <v/>
      </c>
    </row>
    <row r="48">
      <c r="A48" s="42">
        <f>ROW()-3</f>
        <v/>
      </c>
      <c r="B48" t="inlineStr">
        <is>
          <t>渡辺葵</t>
        </is>
      </c>
      <c r="C48" s="42" t="inlineStr">
        <is>
          <t>本校</t>
        </is>
      </c>
      <c r="D48" s="42" t="inlineStr">
        <is>
          <t>高2</t>
        </is>
      </c>
      <c r="E48" s="42" t="inlineStr">
        <is>
          <t>個別指導S</t>
        </is>
      </c>
      <c r="F48" s="28">
        <f>IFERROR(INDEX(TankaData[1コマ単価],MATCH(E48,TankaData[コース],0)),0)</f>
        <v/>
      </c>
      <c r="G48" s="43" t="n">
        <v>4</v>
      </c>
      <c r="H48" s="29">
        <f>G48*4</f>
        <v/>
      </c>
      <c r="I48" s="28">
        <f>IFERROR(INDEX(TankaData[教材費(標準)],MATCH(E48,TankaData[コース],0)),0)</f>
        <v/>
      </c>
      <c r="J48" s="28">
        <f>F48*H48</f>
        <v/>
      </c>
      <c r="K48" s="28">
        <f>J48+I48+ROUND((J48+I48)*0.1,0)</f>
        <v/>
      </c>
      <c r="L48" t="inlineStr">
        <is>
          <t>seito045@example.com</t>
        </is>
      </c>
      <c r="M48" s="44" t="inlineStr">
        <is>
          <t>📧 Gmailを開く</t>
        </is>
      </c>
      <c r="N48" s="45">
        <f>"教室："&amp;C48&amp;"／コース："&amp;E48&amp;"／コマ数："&amp;H48&amp;"コマ／授業料："&amp;TEXT(J48,"#,##0")&amp;"円／教材費："&amp;TEXT(I48,"#,##0")&amp;"円／消費税："&amp;TEXT(ROUND((J48+I48)*0.1,0),"#,##0")&amp;"円／請求額："&amp;TEXT(K48,"#,##0")&amp;"円"</f>
        <v/>
      </c>
      <c r="O48">
        <f>A48&amp;"："&amp;B48</f>
        <v/>
      </c>
    </row>
    <row r="49">
      <c r="A49" s="42">
        <f>ROW()-3</f>
        <v/>
      </c>
      <c r="B49" t="inlineStr">
        <is>
          <t>山崎詩織</t>
        </is>
      </c>
      <c r="C49" s="42" t="inlineStr">
        <is>
          <t>本校</t>
        </is>
      </c>
      <c r="D49" s="42" t="inlineStr">
        <is>
          <t>中3</t>
        </is>
      </c>
      <c r="E49" s="42" t="inlineStr">
        <is>
          <t>映像授業</t>
        </is>
      </c>
      <c r="F49" s="28">
        <f>IFERROR(INDEX(TankaData[1コマ単価],MATCH(E49,TankaData[コース],0)),0)</f>
        <v/>
      </c>
      <c r="G49" s="43" t="n">
        <v>2</v>
      </c>
      <c r="H49" s="29">
        <f>G49*4</f>
        <v/>
      </c>
      <c r="I49" s="28">
        <f>IFERROR(INDEX(TankaData[教材費(標準)],MATCH(E49,TankaData[コース],0)),0)</f>
        <v/>
      </c>
      <c r="J49" s="28">
        <f>F49*H49</f>
        <v/>
      </c>
      <c r="K49" s="28">
        <f>J49+I49+ROUND((J49+I49)*0.1,0)</f>
        <v/>
      </c>
      <c r="L49" t="inlineStr">
        <is>
          <t>seito046@example.com</t>
        </is>
      </c>
      <c r="M49" s="44" t="inlineStr">
        <is>
          <t>📧 Gmailを開く</t>
        </is>
      </c>
      <c r="N49" s="45">
        <f>"教室："&amp;C49&amp;"／コース："&amp;E49&amp;"／コマ数："&amp;H49&amp;"コマ／授業料："&amp;TEXT(J49,"#,##0")&amp;"円／教材費："&amp;TEXT(I49,"#,##0")&amp;"円／消費税："&amp;TEXT(ROUND((J49+I49)*0.1,0),"#,##0")&amp;"円／請求額："&amp;TEXT(K49,"#,##0")&amp;"円"</f>
        <v/>
      </c>
      <c r="O49">
        <f>A49&amp;"："&amp;B49</f>
        <v/>
      </c>
    </row>
    <row r="50">
      <c r="A50" s="42">
        <f>ROW()-3</f>
        <v/>
      </c>
      <c r="B50" t="inlineStr">
        <is>
          <t>石井心春</t>
        </is>
      </c>
      <c r="C50" s="42" t="inlineStr">
        <is>
          <t>本校</t>
        </is>
      </c>
      <c r="D50" s="42" t="inlineStr">
        <is>
          <t>高2</t>
        </is>
      </c>
      <c r="E50" s="42" t="inlineStr">
        <is>
          <t>個別指導</t>
        </is>
      </c>
      <c r="F50" s="28">
        <f>IFERROR(INDEX(TankaData[1コマ単価],MATCH(E50,TankaData[コース],0)),0)</f>
        <v/>
      </c>
      <c r="G50" s="43" t="n">
        <v>5</v>
      </c>
      <c r="H50" s="29">
        <f>G50*4</f>
        <v/>
      </c>
      <c r="I50" s="28">
        <f>IFERROR(INDEX(TankaData[教材費(標準)],MATCH(E50,TankaData[コース],0)),0)</f>
        <v/>
      </c>
      <c r="J50" s="28">
        <f>F50*H50</f>
        <v/>
      </c>
      <c r="K50" s="28">
        <f>J50+I50+ROUND((J50+I50)*0.1,0)</f>
        <v/>
      </c>
      <c r="L50" t="inlineStr">
        <is>
          <t>seito047@example.com</t>
        </is>
      </c>
      <c r="M50" s="44" t="inlineStr">
        <is>
          <t>📧 Gmailを開く</t>
        </is>
      </c>
      <c r="N50" s="45">
        <f>"教室："&amp;C50&amp;"／コース："&amp;E50&amp;"／コマ数："&amp;H50&amp;"コマ／授業料："&amp;TEXT(J50,"#,##0")&amp;"円／教材費："&amp;TEXT(I50,"#,##0")&amp;"円／消費税："&amp;TEXT(ROUND((J50+I50)*0.1,0),"#,##0")&amp;"円／請求額："&amp;TEXT(K50,"#,##0")&amp;"円"</f>
        <v/>
      </c>
      <c r="O50">
        <f>A50&amp;"："&amp;B50</f>
        <v/>
      </c>
    </row>
    <row r="51">
      <c r="A51" s="42">
        <f>ROW()-3</f>
        <v/>
      </c>
      <c r="B51" t="inlineStr">
        <is>
          <t>佐藤健太</t>
        </is>
      </c>
      <c r="C51" s="42" t="inlineStr">
        <is>
          <t>本校</t>
        </is>
      </c>
      <c r="D51" s="42" t="inlineStr">
        <is>
          <t>高3</t>
        </is>
      </c>
      <c r="E51" s="42" t="inlineStr">
        <is>
          <t>個別指導S</t>
        </is>
      </c>
      <c r="F51" s="28">
        <f>IFERROR(INDEX(TankaData[1コマ単価],MATCH(E51,TankaData[コース],0)),0)</f>
        <v/>
      </c>
      <c r="G51" s="43" t="n">
        <v>4</v>
      </c>
      <c r="H51" s="29">
        <f>G51*4</f>
        <v/>
      </c>
      <c r="I51" s="28">
        <f>IFERROR(INDEX(TankaData[教材費(標準)],MATCH(E51,TankaData[コース],0)),0)</f>
        <v/>
      </c>
      <c r="J51" s="28">
        <f>F51*H51</f>
        <v/>
      </c>
      <c r="K51" s="28">
        <f>J51+I51+ROUND((J51+I51)*0.1,0)</f>
        <v/>
      </c>
      <c r="L51" t="inlineStr">
        <is>
          <t>seito048@example.com</t>
        </is>
      </c>
      <c r="M51" s="44" t="inlineStr">
        <is>
          <t>📧 Gmailを開く</t>
        </is>
      </c>
      <c r="N51" s="45">
        <f>"教室："&amp;C51&amp;"／コース："&amp;E51&amp;"／コマ数："&amp;H51&amp;"コマ／授業料："&amp;TEXT(J51,"#,##0")&amp;"円／教材費："&amp;TEXT(I51,"#,##0")&amp;"円／消費税："&amp;TEXT(ROUND((J51+I51)*0.1,0),"#,##0")&amp;"円／請求額："&amp;TEXT(K51,"#,##0")&amp;"円"</f>
        <v/>
      </c>
      <c r="O51">
        <f>A51&amp;"："&amp;B51</f>
        <v/>
      </c>
    </row>
    <row r="52">
      <c r="A52" s="42">
        <f>ROW()-3</f>
        <v/>
      </c>
      <c r="B52" t="inlineStr">
        <is>
          <t>石井結衣</t>
        </is>
      </c>
      <c r="C52" s="42" t="inlineStr">
        <is>
          <t>本校</t>
        </is>
      </c>
      <c r="D52" s="42" t="inlineStr">
        <is>
          <t>小4</t>
        </is>
      </c>
      <c r="E52" s="42" t="inlineStr">
        <is>
          <t>個別指導S</t>
        </is>
      </c>
      <c r="F52" s="28">
        <f>IFERROR(INDEX(TankaData[1コマ単価],MATCH(E52,TankaData[コース],0)),0)</f>
        <v/>
      </c>
      <c r="G52" s="43" t="n">
        <v>4</v>
      </c>
      <c r="H52" s="29">
        <f>G52*4</f>
        <v/>
      </c>
      <c r="I52" s="28">
        <f>IFERROR(INDEX(TankaData[教材費(標準)],MATCH(E52,TankaData[コース],0)),0)</f>
        <v/>
      </c>
      <c r="J52" s="28">
        <f>F52*H52</f>
        <v/>
      </c>
      <c r="K52" s="28">
        <f>J52+I52+ROUND((J52+I52)*0.1,0)</f>
        <v/>
      </c>
      <c r="L52" t="inlineStr">
        <is>
          <t>seito049@example.com</t>
        </is>
      </c>
      <c r="M52" s="44" t="inlineStr">
        <is>
          <t>📧 Gmailを開く</t>
        </is>
      </c>
      <c r="N52" s="45">
        <f>"教室："&amp;C52&amp;"／コース："&amp;E52&amp;"／コマ数："&amp;H52&amp;"コマ／授業料："&amp;TEXT(J52,"#,##0")&amp;"円／教材費："&amp;TEXT(I52,"#,##0")&amp;"円／消費税："&amp;TEXT(ROUND((J52+I52)*0.1,0),"#,##0")&amp;"円／請求額："&amp;TEXT(K52,"#,##0")&amp;"円"</f>
        <v/>
      </c>
      <c r="O52">
        <f>A52&amp;"："&amp;B52</f>
        <v/>
      </c>
    </row>
    <row r="53">
      <c r="A53" s="42">
        <f>ROW()-3</f>
        <v/>
      </c>
      <c r="B53" t="inlineStr">
        <is>
          <t>小川心春</t>
        </is>
      </c>
      <c r="C53" s="42" t="inlineStr">
        <is>
          <t>本校</t>
        </is>
      </c>
      <c r="D53" s="42" t="inlineStr">
        <is>
          <t>小6</t>
        </is>
      </c>
      <c r="E53" s="42" t="inlineStr">
        <is>
          <t>映像授業</t>
        </is>
      </c>
      <c r="F53" s="28">
        <f>IFERROR(INDEX(TankaData[1コマ単価],MATCH(E53,TankaData[コース],0)),0)</f>
        <v/>
      </c>
      <c r="G53" s="43" t="n">
        <v>2</v>
      </c>
      <c r="H53" s="29">
        <f>G53*4</f>
        <v/>
      </c>
      <c r="I53" s="28">
        <f>IFERROR(INDEX(TankaData[教材費(標準)],MATCH(E53,TankaData[コース],0)),0)</f>
        <v/>
      </c>
      <c r="J53" s="28">
        <f>F53*H53</f>
        <v/>
      </c>
      <c r="K53" s="28">
        <f>J53+I53+ROUND((J53+I53)*0.1,0)</f>
        <v/>
      </c>
      <c r="L53" t="inlineStr">
        <is>
          <t>seito050@example.com</t>
        </is>
      </c>
      <c r="M53" s="44" t="inlineStr">
        <is>
          <t>📧 Gmailを開く</t>
        </is>
      </c>
      <c r="N53" s="45">
        <f>"教室："&amp;C53&amp;"／コース："&amp;E53&amp;"／コマ数："&amp;H53&amp;"コマ／授業料："&amp;TEXT(J53,"#,##0")&amp;"円／教材費："&amp;TEXT(I53,"#,##0")&amp;"円／消費税："&amp;TEXT(ROUND((J53+I53)*0.1,0),"#,##0")&amp;"円／請求額："&amp;TEXT(K53,"#,##0")&amp;"円"</f>
        <v/>
      </c>
      <c r="O53">
        <f>A53&amp;"："&amp;B53</f>
        <v/>
      </c>
    </row>
    <row r="54">
      <c r="A54" s="42">
        <f>ROW()-3</f>
        <v/>
      </c>
      <c r="B54" t="inlineStr">
        <is>
          <t>青木彩花</t>
        </is>
      </c>
      <c r="C54" s="42" t="inlineStr">
        <is>
          <t>本校</t>
        </is>
      </c>
      <c r="D54" s="42" t="inlineStr">
        <is>
          <t>小4</t>
        </is>
      </c>
      <c r="E54" s="42" t="inlineStr">
        <is>
          <t>集団授業</t>
        </is>
      </c>
      <c r="F54" s="28">
        <f>IFERROR(INDEX(TankaData[1コマ単価],MATCH(E54,TankaData[コース],0)),0)</f>
        <v/>
      </c>
      <c r="G54" s="43" t="n">
        <v>4</v>
      </c>
      <c r="H54" s="29">
        <f>G54*4</f>
        <v/>
      </c>
      <c r="I54" s="28">
        <f>IFERROR(INDEX(TankaData[教材費(標準)],MATCH(E54,TankaData[コース],0)),0)</f>
        <v/>
      </c>
      <c r="J54" s="28">
        <f>F54*H54</f>
        <v/>
      </c>
      <c r="K54" s="28">
        <f>J54+I54+ROUND((J54+I54)*0.1,0)</f>
        <v/>
      </c>
      <c r="L54" t="inlineStr">
        <is>
          <t>seito051@example.com</t>
        </is>
      </c>
      <c r="M54" s="44" t="inlineStr">
        <is>
          <t>📧 Gmailを開く</t>
        </is>
      </c>
      <c r="N54" s="45">
        <f>"教室："&amp;C54&amp;"／コース："&amp;E54&amp;"／コマ数："&amp;H54&amp;"コマ／授業料："&amp;TEXT(J54,"#,##0")&amp;"円／教材費："&amp;TEXT(I54,"#,##0")&amp;"円／消費税："&amp;TEXT(ROUND((J54+I54)*0.1,0),"#,##0")&amp;"円／請求額："&amp;TEXT(K54,"#,##0")&amp;"円"</f>
        <v/>
      </c>
      <c r="O54">
        <f>A54&amp;"："&amp;B54</f>
        <v/>
      </c>
    </row>
    <row r="55">
      <c r="A55" s="42">
        <f>ROW()-3</f>
        <v/>
      </c>
      <c r="B55" t="inlineStr">
        <is>
          <t>福田蓮</t>
        </is>
      </c>
      <c r="C55" s="42" t="inlineStr">
        <is>
          <t>本校</t>
        </is>
      </c>
      <c r="D55" s="42" t="inlineStr">
        <is>
          <t>中3</t>
        </is>
      </c>
      <c r="E55" s="42" t="inlineStr">
        <is>
          <t>個別指導</t>
        </is>
      </c>
      <c r="F55" s="28">
        <f>IFERROR(INDEX(TankaData[1コマ単価],MATCH(E55,TankaData[コース],0)),0)</f>
        <v/>
      </c>
      <c r="G55" s="43" t="n">
        <v>4</v>
      </c>
      <c r="H55" s="29">
        <f>G55*4</f>
        <v/>
      </c>
      <c r="I55" s="28">
        <f>IFERROR(INDEX(TankaData[教材費(標準)],MATCH(E55,TankaData[コース],0)),0)</f>
        <v/>
      </c>
      <c r="J55" s="28">
        <f>F55*H55</f>
        <v/>
      </c>
      <c r="K55" s="28">
        <f>J55+I55+ROUND((J55+I55)*0.1,0)</f>
        <v/>
      </c>
      <c r="L55" t="inlineStr">
        <is>
          <t>seito052@example.com</t>
        </is>
      </c>
      <c r="M55" s="44" t="inlineStr">
        <is>
          <t>📧 Gmailを開く</t>
        </is>
      </c>
      <c r="N55" s="45">
        <f>"教室："&amp;C55&amp;"／コース："&amp;E55&amp;"／コマ数："&amp;H55&amp;"コマ／授業料："&amp;TEXT(J55,"#,##0")&amp;"円／教材費："&amp;TEXT(I55,"#,##0")&amp;"円／消費税："&amp;TEXT(ROUND((J55+I55)*0.1,0),"#,##0")&amp;"円／請求額："&amp;TEXT(K55,"#,##0")&amp;"円"</f>
        <v/>
      </c>
      <c r="O55">
        <f>A55&amp;"："&amp;B55</f>
        <v/>
      </c>
    </row>
    <row r="56">
      <c r="A56" s="42">
        <f>ROW()-3</f>
        <v/>
      </c>
      <c r="B56" t="inlineStr">
        <is>
          <t>伊藤大輝</t>
        </is>
      </c>
      <c r="C56" s="42" t="inlineStr">
        <is>
          <t>本校</t>
        </is>
      </c>
      <c r="D56" s="42" t="inlineStr">
        <is>
          <t>中3</t>
        </is>
      </c>
      <c r="E56" s="42" t="inlineStr">
        <is>
          <t>集団授業</t>
        </is>
      </c>
      <c r="F56" s="28">
        <f>IFERROR(INDEX(TankaData[1コマ単価],MATCH(E56,TankaData[コース],0)),0)</f>
        <v/>
      </c>
      <c r="G56" s="43" t="n">
        <v>4</v>
      </c>
      <c r="H56" s="29">
        <f>G56*4</f>
        <v/>
      </c>
      <c r="I56" s="28">
        <f>IFERROR(INDEX(TankaData[教材費(標準)],MATCH(E56,TankaData[コース],0)),0)</f>
        <v/>
      </c>
      <c r="J56" s="28">
        <f>F56*H56</f>
        <v/>
      </c>
      <c r="K56" s="28">
        <f>J56+I56+ROUND((J56+I56)*0.1,0)</f>
        <v/>
      </c>
      <c r="L56" t="inlineStr">
        <is>
          <t>seito053@example.com</t>
        </is>
      </c>
      <c r="M56" s="44" t="inlineStr">
        <is>
          <t>📧 Gmailを開く</t>
        </is>
      </c>
      <c r="N56" s="45">
        <f>"教室："&amp;C56&amp;"／コース："&amp;E56&amp;"／コマ数："&amp;H56&amp;"コマ／授業料："&amp;TEXT(J56,"#,##0")&amp;"円／教材費："&amp;TEXT(I56,"#,##0")&amp;"円／消費税："&amp;TEXT(ROUND((J56+I56)*0.1,0),"#,##0")&amp;"円／請求額："&amp;TEXT(K56,"#,##0")&amp;"円"</f>
        <v/>
      </c>
      <c r="O56">
        <f>A56&amp;"："&amp;B56</f>
        <v/>
      </c>
    </row>
    <row r="57">
      <c r="A57" s="42">
        <f>ROW()-3</f>
        <v/>
      </c>
      <c r="B57" t="inlineStr">
        <is>
          <t>山下優奈</t>
        </is>
      </c>
      <c r="C57" s="42" t="inlineStr">
        <is>
          <t>本校</t>
        </is>
      </c>
      <c r="D57" s="42" t="inlineStr">
        <is>
          <t>中2</t>
        </is>
      </c>
      <c r="E57" s="42" t="inlineStr">
        <is>
          <t>映像授業</t>
        </is>
      </c>
      <c r="F57" s="28">
        <f>IFERROR(INDEX(TankaData[1コマ単価],MATCH(E57,TankaData[コース],0)),0)</f>
        <v/>
      </c>
      <c r="G57" s="43" t="n">
        <v>3</v>
      </c>
      <c r="H57" s="29">
        <f>G57*4</f>
        <v/>
      </c>
      <c r="I57" s="28">
        <f>IFERROR(INDEX(TankaData[教材費(標準)],MATCH(E57,TankaData[コース],0)),0)</f>
        <v/>
      </c>
      <c r="J57" s="28">
        <f>F57*H57</f>
        <v/>
      </c>
      <c r="K57" s="28">
        <f>J57+I57+ROUND((J57+I57)*0.1,0)</f>
        <v/>
      </c>
      <c r="L57" t="inlineStr">
        <is>
          <t>seito054@example.com</t>
        </is>
      </c>
      <c r="M57" s="44" t="inlineStr">
        <is>
          <t>📧 Gmailを開く</t>
        </is>
      </c>
      <c r="N57" s="45">
        <f>"教室："&amp;C57&amp;"／コース："&amp;E57&amp;"／コマ数："&amp;H57&amp;"コマ／授業料："&amp;TEXT(J57,"#,##0")&amp;"円／教材費："&amp;TEXT(I57,"#,##0")&amp;"円／消費税："&amp;TEXT(ROUND((J57+I57)*0.1,0),"#,##0")&amp;"円／請求額："&amp;TEXT(K57,"#,##0")&amp;"円"</f>
        <v/>
      </c>
      <c r="O57">
        <f>A57&amp;"："&amp;B57</f>
        <v/>
      </c>
    </row>
    <row r="58">
      <c r="A58" s="42">
        <f>ROW()-3</f>
        <v/>
      </c>
      <c r="B58" t="inlineStr">
        <is>
          <t>橋本蓮</t>
        </is>
      </c>
      <c r="C58" s="42" t="inlineStr">
        <is>
          <t>本校</t>
        </is>
      </c>
      <c r="D58" s="42" t="inlineStr">
        <is>
          <t>小5</t>
        </is>
      </c>
      <c r="E58" s="42" t="inlineStr">
        <is>
          <t>映像授業</t>
        </is>
      </c>
      <c r="F58" s="28">
        <f>IFERROR(INDEX(TankaData[1コマ単価],MATCH(E58,TankaData[コース],0)),0)</f>
        <v/>
      </c>
      <c r="G58" s="43" t="n">
        <v>1</v>
      </c>
      <c r="H58" s="29">
        <f>G58*4</f>
        <v/>
      </c>
      <c r="I58" s="28">
        <f>IFERROR(INDEX(TankaData[教材費(標準)],MATCH(E58,TankaData[コース],0)),0)</f>
        <v/>
      </c>
      <c r="J58" s="28">
        <f>F58*H58</f>
        <v/>
      </c>
      <c r="K58" s="28">
        <f>J58+I58+ROUND((J58+I58)*0.1,0)</f>
        <v/>
      </c>
      <c r="L58" t="inlineStr">
        <is>
          <t>seito055@example.com</t>
        </is>
      </c>
      <c r="M58" s="44" t="inlineStr">
        <is>
          <t>📧 Gmailを開く</t>
        </is>
      </c>
      <c r="N58" s="45">
        <f>"教室："&amp;C58&amp;"／コース："&amp;E58&amp;"／コマ数："&amp;H58&amp;"コマ／授業料："&amp;TEXT(J58,"#,##0")&amp;"円／教材費："&amp;TEXT(I58,"#,##0")&amp;"円／消費税："&amp;TEXT(ROUND((J58+I58)*0.1,0),"#,##0")&amp;"円／請求額："&amp;TEXT(K58,"#,##0")&amp;"円"</f>
        <v/>
      </c>
      <c r="O58">
        <f>A58&amp;"："&amp;B58</f>
        <v/>
      </c>
    </row>
    <row r="59">
      <c r="A59" s="42">
        <f>ROW()-3</f>
        <v/>
      </c>
      <c r="B59" t="inlineStr">
        <is>
          <t>遠藤彩花</t>
        </is>
      </c>
      <c r="C59" s="42" t="inlineStr">
        <is>
          <t>本校</t>
        </is>
      </c>
      <c r="D59" s="42" t="inlineStr">
        <is>
          <t>高3</t>
        </is>
      </c>
      <c r="E59" s="42" t="inlineStr">
        <is>
          <t>個別指導S</t>
        </is>
      </c>
      <c r="F59" s="28">
        <f>IFERROR(INDEX(TankaData[1コマ単価],MATCH(E59,TankaData[コース],0)),0)</f>
        <v/>
      </c>
      <c r="G59" s="43" t="n">
        <v>3</v>
      </c>
      <c r="H59" s="29">
        <f>G59*4</f>
        <v/>
      </c>
      <c r="I59" s="28">
        <f>IFERROR(INDEX(TankaData[教材費(標準)],MATCH(E59,TankaData[コース],0)),0)</f>
        <v/>
      </c>
      <c r="J59" s="28">
        <f>F59*H59</f>
        <v/>
      </c>
      <c r="K59" s="28">
        <f>J59+I59+ROUND((J59+I59)*0.1,0)</f>
        <v/>
      </c>
      <c r="L59" t="inlineStr">
        <is>
          <t>seito056@example.com</t>
        </is>
      </c>
      <c r="M59" s="44" t="inlineStr">
        <is>
          <t>📧 Gmailを開く</t>
        </is>
      </c>
      <c r="N59" s="45">
        <f>"教室："&amp;C59&amp;"／コース："&amp;E59&amp;"／コマ数："&amp;H59&amp;"コマ／授業料："&amp;TEXT(J59,"#,##0")&amp;"円／教材費："&amp;TEXT(I59,"#,##0")&amp;"円／消費税："&amp;TEXT(ROUND((J59+I59)*0.1,0),"#,##0")&amp;"円／請求額："&amp;TEXT(K59,"#,##0")&amp;"円"</f>
        <v/>
      </c>
      <c r="O59">
        <f>A59&amp;"："&amp;B59</f>
        <v/>
      </c>
    </row>
    <row r="60">
      <c r="A60" s="42">
        <f>ROW()-3</f>
        <v/>
      </c>
      <c r="B60" t="inlineStr">
        <is>
          <t>林一輝</t>
        </is>
      </c>
      <c r="C60" s="42" t="inlineStr">
        <is>
          <t>本校</t>
        </is>
      </c>
      <c r="D60" s="42" t="inlineStr">
        <is>
          <t>中1</t>
        </is>
      </c>
      <c r="E60" s="42" t="inlineStr">
        <is>
          <t>個別指導S</t>
        </is>
      </c>
      <c r="F60" s="28">
        <f>IFERROR(INDEX(TankaData[1コマ単価],MATCH(E60,TankaData[コース],0)),0)</f>
        <v/>
      </c>
      <c r="G60" s="43" t="n">
        <v>1</v>
      </c>
      <c r="H60" s="29">
        <f>G60*4</f>
        <v/>
      </c>
      <c r="I60" s="28">
        <f>IFERROR(INDEX(TankaData[教材費(標準)],MATCH(E60,TankaData[コース],0)),0)</f>
        <v/>
      </c>
      <c r="J60" s="28">
        <f>F60*H60</f>
        <v/>
      </c>
      <c r="K60" s="28">
        <f>J60+I60+ROUND((J60+I60)*0.1,0)</f>
        <v/>
      </c>
      <c r="L60" t="inlineStr">
        <is>
          <t>seito057@example.com</t>
        </is>
      </c>
      <c r="M60" s="44" t="inlineStr">
        <is>
          <t>📧 Gmailを開く</t>
        </is>
      </c>
      <c r="N60" s="45">
        <f>"教室："&amp;C60&amp;"／コース："&amp;E60&amp;"／コマ数："&amp;H60&amp;"コマ／授業料："&amp;TEXT(J60,"#,##0")&amp;"円／教材費："&amp;TEXT(I60,"#,##0")&amp;"円／消費税："&amp;TEXT(ROUND((J60+I60)*0.1,0),"#,##0")&amp;"円／請求額："&amp;TEXT(K60,"#,##0")&amp;"円"</f>
        <v/>
      </c>
      <c r="O60">
        <f>A60&amp;"："&amp;B60</f>
        <v/>
      </c>
    </row>
    <row r="61">
      <c r="A61" s="42">
        <f>ROW()-3</f>
        <v/>
      </c>
      <c r="B61" t="inlineStr">
        <is>
          <t>小野咲良</t>
        </is>
      </c>
      <c r="C61" s="42" t="inlineStr">
        <is>
          <t>本校</t>
        </is>
      </c>
      <c r="D61" s="42" t="inlineStr">
        <is>
          <t>小4</t>
        </is>
      </c>
      <c r="E61" s="42" t="inlineStr">
        <is>
          <t>個別指導</t>
        </is>
      </c>
      <c r="F61" s="28">
        <f>IFERROR(INDEX(TankaData[1コマ単価],MATCH(E61,TankaData[コース],0)),0)</f>
        <v/>
      </c>
      <c r="G61" s="43" t="n">
        <v>2</v>
      </c>
      <c r="H61" s="29">
        <f>G61*4</f>
        <v/>
      </c>
      <c r="I61" s="28">
        <f>IFERROR(INDEX(TankaData[教材費(標準)],MATCH(E61,TankaData[コース],0)),0)</f>
        <v/>
      </c>
      <c r="J61" s="28">
        <f>F61*H61</f>
        <v/>
      </c>
      <c r="K61" s="28">
        <f>J61+I61+ROUND((J61+I61)*0.1,0)</f>
        <v/>
      </c>
      <c r="L61" t="inlineStr">
        <is>
          <t>seito058@example.com</t>
        </is>
      </c>
      <c r="M61" s="44" t="inlineStr">
        <is>
          <t>📧 Gmailを開く</t>
        </is>
      </c>
      <c r="N61" s="45">
        <f>"教室："&amp;C61&amp;"／コース："&amp;E61&amp;"／コマ数："&amp;H61&amp;"コマ／授業料："&amp;TEXT(J61,"#,##0")&amp;"円／教材費："&amp;TEXT(I61,"#,##0")&amp;"円／消費税："&amp;TEXT(ROUND((J61+I61)*0.1,0),"#,##0")&amp;"円／請求額："&amp;TEXT(K61,"#,##0")&amp;"円"</f>
        <v/>
      </c>
      <c r="O61">
        <f>A61&amp;"："&amp;B61</f>
        <v/>
      </c>
    </row>
    <row r="62">
      <c r="A62" s="42">
        <f>ROW()-3</f>
        <v/>
      </c>
      <c r="B62" t="inlineStr">
        <is>
          <t>後藤紬</t>
        </is>
      </c>
      <c r="C62" s="42" t="inlineStr">
        <is>
          <t>本校</t>
        </is>
      </c>
      <c r="D62" s="42" t="inlineStr">
        <is>
          <t>小4</t>
        </is>
      </c>
      <c r="E62" s="42" t="inlineStr">
        <is>
          <t>個別指導</t>
        </is>
      </c>
      <c r="F62" s="28">
        <f>IFERROR(INDEX(TankaData[1コマ単価],MATCH(E62,TankaData[コース],0)),0)</f>
        <v/>
      </c>
      <c r="G62" s="43" t="n">
        <v>2</v>
      </c>
      <c r="H62" s="29">
        <f>G62*4</f>
        <v/>
      </c>
      <c r="I62" s="28">
        <f>IFERROR(INDEX(TankaData[教材費(標準)],MATCH(E62,TankaData[コース],0)),0)</f>
        <v/>
      </c>
      <c r="J62" s="28">
        <f>F62*H62</f>
        <v/>
      </c>
      <c r="K62" s="28">
        <f>J62+I62+ROUND((J62+I62)*0.1,0)</f>
        <v/>
      </c>
      <c r="L62" t="inlineStr">
        <is>
          <t>seito059@example.com</t>
        </is>
      </c>
      <c r="M62" s="44" t="inlineStr">
        <is>
          <t>📧 Gmailを開く</t>
        </is>
      </c>
      <c r="N62" s="45">
        <f>"教室："&amp;C62&amp;"／コース："&amp;E62&amp;"／コマ数："&amp;H62&amp;"コマ／授業料："&amp;TEXT(J62,"#,##0")&amp;"円／教材費："&amp;TEXT(I62,"#,##0")&amp;"円／消費税："&amp;TEXT(ROUND((J62+I62)*0.1,0),"#,##0")&amp;"円／請求額："&amp;TEXT(K62,"#,##0")&amp;"円"</f>
        <v/>
      </c>
      <c r="O62">
        <f>A62&amp;"："&amp;B62</f>
        <v/>
      </c>
    </row>
    <row r="63">
      <c r="A63" s="42">
        <f>ROW()-3</f>
        <v/>
      </c>
      <c r="B63" t="inlineStr">
        <is>
          <t>小林颯太</t>
        </is>
      </c>
      <c r="C63" s="42" t="inlineStr">
        <is>
          <t>本校</t>
        </is>
      </c>
      <c r="D63" s="42" t="inlineStr">
        <is>
          <t>小6</t>
        </is>
      </c>
      <c r="E63" s="42" t="inlineStr">
        <is>
          <t>映像授業</t>
        </is>
      </c>
      <c r="F63" s="28">
        <f>IFERROR(INDEX(TankaData[1コマ単価],MATCH(E63,TankaData[コース],0)),0)</f>
        <v/>
      </c>
      <c r="G63" s="43" t="n">
        <v>1</v>
      </c>
      <c r="H63" s="29">
        <f>G63*4</f>
        <v/>
      </c>
      <c r="I63" s="28">
        <f>IFERROR(INDEX(TankaData[教材費(標準)],MATCH(E63,TankaData[コース],0)),0)</f>
        <v/>
      </c>
      <c r="J63" s="28">
        <f>F63*H63</f>
        <v/>
      </c>
      <c r="K63" s="28">
        <f>J63+I63+ROUND((J63+I63)*0.1,0)</f>
        <v/>
      </c>
      <c r="L63" t="inlineStr">
        <is>
          <t>seito060@example.com</t>
        </is>
      </c>
      <c r="M63" s="44" t="inlineStr">
        <is>
          <t>📧 Gmailを開く</t>
        </is>
      </c>
      <c r="N63" s="45">
        <f>"教室："&amp;C63&amp;"／コース："&amp;E63&amp;"／コマ数："&amp;H63&amp;"コマ／授業料："&amp;TEXT(J63,"#,##0")&amp;"円／教材費："&amp;TEXT(I63,"#,##0")&amp;"円／消費税："&amp;TEXT(ROUND((J63+I63)*0.1,0),"#,##0")&amp;"円／請求額："&amp;TEXT(K63,"#,##0")&amp;"円"</f>
        <v/>
      </c>
      <c r="O63">
        <f>A63&amp;"："&amp;B63</f>
        <v/>
      </c>
    </row>
    <row r="64">
      <c r="A64" s="42">
        <f>ROW()-3</f>
        <v/>
      </c>
      <c r="B64" t="inlineStr">
        <is>
          <t>伊藤駿</t>
        </is>
      </c>
      <c r="C64" s="42" t="inlineStr">
        <is>
          <t>本校</t>
        </is>
      </c>
      <c r="D64" s="42" t="inlineStr">
        <is>
          <t>中1</t>
        </is>
      </c>
      <c r="E64" s="42" t="inlineStr">
        <is>
          <t>映像授業</t>
        </is>
      </c>
      <c r="F64" s="28">
        <f>IFERROR(INDEX(TankaData[1コマ単価],MATCH(E64,TankaData[コース],0)),0)</f>
        <v/>
      </c>
      <c r="G64" s="43" t="n">
        <v>3</v>
      </c>
      <c r="H64" s="29">
        <f>G64*4</f>
        <v/>
      </c>
      <c r="I64" s="28">
        <f>IFERROR(INDEX(TankaData[教材費(標準)],MATCH(E64,TankaData[コース],0)),0)</f>
        <v/>
      </c>
      <c r="J64" s="28">
        <f>F64*H64</f>
        <v/>
      </c>
      <c r="K64" s="28">
        <f>J64+I64+ROUND((J64+I64)*0.1,0)</f>
        <v/>
      </c>
      <c r="L64" t="inlineStr">
        <is>
          <t>seito061@example.com</t>
        </is>
      </c>
      <c r="M64" s="44" t="inlineStr">
        <is>
          <t>📧 Gmailを開く</t>
        </is>
      </c>
      <c r="N64" s="45">
        <f>"教室："&amp;C64&amp;"／コース："&amp;E64&amp;"／コマ数："&amp;H64&amp;"コマ／授業料："&amp;TEXT(J64,"#,##0")&amp;"円／教材費："&amp;TEXT(I64,"#,##0")&amp;"円／消費税："&amp;TEXT(ROUND((J64+I64)*0.1,0),"#,##0")&amp;"円／請求額："&amp;TEXT(K64,"#,##0")&amp;"円"</f>
        <v/>
      </c>
      <c r="O64">
        <f>A64&amp;"："&amp;B64</f>
        <v/>
      </c>
    </row>
    <row r="65">
      <c r="A65" s="42">
        <f>ROW()-3</f>
        <v/>
      </c>
      <c r="B65" t="inlineStr">
        <is>
          <t>山下大和</t>
        </is>
      </c>
      <c r="C65" s="42" t="inlineStr">
        <is>
          <t>本校</t>
        </is>
      </c>
      <c r="D65" s="42" t="inlineStr">
        <is>
          <t>中3</t>
        </is>
      </c>
      <c r="E65" s="42" t="inlineStr">
        <is>
          <t>個別指導</t>
        </is>
      </c>
      <c r="F65" s="28">
        <f>IFERROR(INDEX(TankaData[1コマ単価],MATCH(E65,TankaData[コース],0)),0)</f>
        <v/>
      </c>
      <c r="G65" s="43" t="n">
        <v>5</v>
      </c>
      <c r="H65" s="29">
        <f>G65*4</f>
        <v/>
      </c>
      <c r="I65" s="28">
        <f>IFERROR(INDEX(TankaData[教材費(標準)],MATCH(E65,TankaData[コース],0)),0)</f>
        <v/>
      </c>
      <c r="J65" s="28">
        <f>F65*H65</f>
        <v/>
      </c>
      <c r="K65" s="28">
        <f>J65+I65+ROUND((J65+I65)*0.1,0)</f>
        <v/>
      </c>
      <c r="L65" t="inlineStr">
        <is>
          <t>seito062@example.com</t>
        </is>
      </c>
      <c r="M65" s="44" t="inlineStr">
        <is>
          <t>📧 Gmailを開く</t>
        </is>
      </c>
      <c r="N65" s="45">
        <f>"教室："&amp;C65&amp;"／コース："&amp;E65&amp;"／コマ数："&amp;H65&amp;"コマ／授業料："&amp;TEXT(J65,"#,##0")&amp;"円／教材費："&amp;TEXT(I65,"#,##0")&amp;"円／消費税："&amp;TEXT(ROUND((J65+I65)*0.1,0),"#,##0")&amp;"円／請求額："&amp;TEXT(K65,"#,##0")&amp;"円"</f>
        <v/>
      </c>
      <c r="O65">
        <f>A65&amp;"："&amp;B65</f>
        <v/>
      </c>
    </row>
    <row r="66">
      <c r="A66" s="42">
        <f>ROW()-3</f>
        <v/>
      </c>
      <c r="B66" t="inlineStr">
        <is>
          <t>後藤翔太</t>
        </is>
      </c>
      <c r="C66" s="42" t="inlineStr">
        <is>
          <t>本校</t>
        </is>
      </c>
      <c r="D66" s="42" t="inlineStr">
        <is>
          <t>小5</t>
        </is>
      </c>
      <c r="E66" s="42" t="inlineStr">
        <is>
          <t>個別指導</t>
        </is>
      </c>
      <c r="F66" s="28">
        <f>IFERROR(INDEX(TankaData[1コマ単価],MATCH(E66,TankaData[コース],0)),0)</f>
        <v/>
      </c>
      <c r="G66" s="43" t="n">
        <v>3</v>
      </c>
      <c r="H66" s="29">
        <f>G66*4</f>
        <v/>
      </c>
      <c r="I66" s="28">
        <f>IFERROR(INDEX(TankaData[教材費(標準)],MATCH(E66,TankaData[コース],0)),0)</f>
        <v/>
      </c>
      <c r="J66" s="28">
        <f>F66*H66</f>
        <v/>
      </c>
      <c r="K66" s="28">
        <f>J66+I66+ROUND((J66+I66)*0.1,0)</f>
        <v/>
      </c>
      <c r="L66" t="inlineStr">
        <is>
          <t>seito063@example.com</t>
        </is>
      </c>
      <c r="M66" s="44" t="inlineStr">
        <is>
          <t>📧 Gmailを開く</t>
        </is>
      </c>
      <c r="N66" s="45">
        <f>"教室："&amp;C66&amp;"／コース："&amp;E66&amp;"／コマ数："&amp;H66&amp;"コマ／授業料："&amp;TEXT(J66,"#,##0")&amp;"円／教材費："&amp;TEXT(I66,"#,##0")&amp;"円／消費税："&amp;TEXT(ROUND((J66+I66)*0.1,0),"#,##0")&amp;"円／請求額："&amp;TEXT(K66,"#,##0")&amp;"円"</f>
        <v/>
      </c>
      <c r="O66">
        <f>A66&amp;"："&amp;B66</f>
        <v/>
      </c>
    </row>
    <row r="67">
      <c r="A67" s="42">
        <f>ROW()-3</f>
        <v/>
      </c>
      <c r="B67" t="inlineStr">
        <is>
          <t>鈴木結衣</t>
        </is>
      </c>
      <c r="C67" s="42" t="inlineStr">
        <is>
          <t>本校</t>
        </is>
      </c>
      <c r="D67" s="42" t="inlineStr">
        <is>
          <t>小5</t>
        </is>
      </c>
      <c r="E67" s="42" t="inlineStr">
        <is>
          <t>個別指導S</t>
        </is>
      </c>
      <c r="F67" s="28">
        <f>IFERROR(INDEX(TankaData[1コマ単価],MATCH(E67,TankaData[コース],0)),0)</f>
        <v/>
      </c>
      <c r="G67" s="43" t="n">
        <v>3</v>
      </c>
      <c r="H67" s="29">
        <f>G67*4</f>
        <v/>
      </c>
      <c r="I67" s="28">
        <f>IFERROR(INDEX(TankaData[教材費(標準)],MATCH(E67,TankaData[コース],0)),0)</f>
        <v/>
      </c>
      <c r="J67" s="28">
        <f>F67*H67</f>
        <v/>
      </c>
      <c r="K67" s="28">
        <f>J67+I67+ROUND((J67+I67)*0.1,0)</f>
        <v/>
      </c>
      <c r="L67" t="inlineStr">
        <is>
          <t>seito064@example.com</t>
        </is>
      </c>
      <c r="M67" s="44" t="inlineStr">
        <is>
          <t>📧 Gmailを開く</t>
        </is>
      </c>
      <c r="N67" s="45">
        <f>"教室："&amp;C67&amp;"／コース："&amp;E67&amp;"／コマ数："&amp;H67&amp;"コマ／授業料："&amp;TEXT(J67,"#,##0")&amp;"円／教材費："&amp;TEXT(I67,"#,##0")&amp;"円／消費税："&amp;TEXT(ROUND((J67+I67)*0.1,0),"#,##0")&amp;"円／請求額："&amp;TEXT(K67,"#,##0")&amp;"円"</f>
        <v/>
      </c>
      <c r="O67">
        <f>A67&amp;"："&amp;B67</f>
        <v/>
      </c>
    </row>
    <row r="68">
      <c r="A68" s="42">
        <f>ROW()-3</f>
        <v/>
      </c>
      <c r="B68" t="inlineStr">
        <is>
          <t>中野一輝</t>
        </is>
      </c>
      <c r="C68" s="42" t="inlineStr">
        <is>
          <t>本校</t>
        </is>
      </c>
      <c r="D68" s="42" t="inlineStr">
        <is>
          <t>高1</t>
        </is>
      </c>
      <c r="E68" s="42" t="inlineStr">
        <is>
          <t>映像授業</t>
        </is>
      </c>
      <c r="F68" s="28">
        <f>IFERROR(INDEX(TankaData[1コマ単価],MATCH(E68,TankaData[コース],0)),0)</f>
        <v/>
      </c>
      <c r="G68" s="43" t="n">
        <v>2</v>
      </c>
      <c r="H68" s="29">
        <f>G68*4</f>
        <v/>
      </c>
      <c r="I68" s="28">
        <f>IFERROR(INDEX(TankaData[教材費(標準)],MATCH(E68,TankaData[コース],0)),0)</f>
        <v/>
      </c>
      <c r="J68" s="28">
        <f>F68*H68</f>
        <v/>
      </c>
      <c r="K68" s="28">
        <f>J68+I68+ROUND((J68+I68)*0.1,0)</f>
        <v/>
      </c>
      <c r="L68" t="inlineStr">
        <is>
          <t>seito065@example.com</t>
        </is>
      </c>
      <c r="M68" s="44" t="inlineStr">
        <is>
          <t>📧 Gmailを開く</t>
        </is>
      </c>
      <c r="N68" s="45">
        <f>"教室："&amp;C68&amp;"／コース："&amp;E68&amp;"／コマ数："&amp;H68&amp;"コマ／授業料："&amp;TEXT(J68,"#,##0")&amp;"円／教材費："&amp;TEXT(I68,"#,##0")&amp;"円／消費税："&amp;TEXT(ROUND((J68+I68)*0.1,0),"#,##0")&amp;"円／請求額："&amp;TEXT(K68,"#,##0")&amp;"円"</f>
        <v/>
      </c>
      <c r="O68">
        <f>A68&amp;"："&amp;B68</f>
        <v/>
      </c>
    </row>
    <row r="69">
      <c r="A69" s="42">
        <f>ROW()-3</f>
        <v/>
      </c>
      <c r="B69" t="inlineStr">
        <is>
          <t>後藤湊</t>
        </is>
      </c>
      <c r="C69" s="42" t="inlineStr">
        <is>
          <t>本校</t>
        </is>
      </c>
      <c r="D69" s="42" t="inlineStr">
        <is>
          <t>小5</t>
        </is>
      </c>
      <c r="E69" s="42" t="inlineStr">
        <is>
          <t>個別指導</t>
        </is>
      </c>
      <c r="F69" s="28">
        <f>IFERROR(INDEX(TankaData[1コマ単価],MATCH(E69,TankaData[コース],0)),0)</f>
        <v/>
      </c>
      <c r="G69" s="43" t="n">
        <v>1</v>
      </c>
      <c r="H69" s="29">
        <f>G69*4</f>
        <v/>
      </c>
      <c r="I69" s="28">
        <f>IFERROR(INDEX(TankaData[教材費(標準)],MATCH(E69,TankaData[コース],0)),0)</f>
        <v/>
      </c>
      <c r="J69" s="28">
        <f>F69*H69</f>
        <v/>
      </c>
      <c r="K69" s="28">
        <f>J69+I69+ROUND((J69+I69)*0.1,0)</f>
        <v/>
      </c>
      <c r="L69" t="inlineStr">
        <is>
          <t>seito066@example.com</t>
        </is>
      </c>
      <c r="M69" s="44" t="inlineStr">
        <is>
          <t>📧 Gmailを開く</t>
        </is>
      </c>
      <c r="N69" s="45">
        <f>"教室："&amp;C69&amp;"／コース："&amp;E69&amp;"／コマ数："&amp;H69&amp;"コマ／授業料："&amp;TEXT(J69,"#,##0")&amp;"円／教材費："&amp;TEXT(I69,"#,##0")&amp;"円／消費税："&amp;TEXT(ROUND((J69+I69)*0.1,0),"#,##0")&amp;"円／請求額："&amp;TEXT(K69,"#,##0")&amp;"円"</f>
        <v/>
      </c>
      <c r="O69">
        <f>A69&amp;"："&amp;B69</f>
        <v/>
      </c>
    </row>
    <row r="70">
      <c r="A70" s="42">
        <f>ROW()-3</f>
        <v/>
      </c>
      <c r="B70" t="inlineStr">
        <is>
          <t>佐々木さくら</t>
        </is>
      </c>
      <c r="C70" s="42" t="inlineStr">
        <is>
          <t>本校</t>
        </is>
      </c>
      <c r="D70" s="42" t="inlineStr">
        <is>
          <t>中2</t>
        </is>
      </c>
      <c r="E70" s="42" t="inlineStr">
        <is>
          <t>個別指導S</t>
        </is>
      </c>
      <c r="F70" s="28">
        <f>IFERROR(INDEX(TankaData[1コマ単価],MATCH(E70,TankaData[コース],0)),0)</f>
        <v/>
      </c>
      <c r="G70" s="43" t="n">
        <v>5</v>
      </c>
      <c r="H70" s="29">
        <f>G70*4</f>
        <v/>
      </c>
      <c r="I70" s="28">
        <f>IFERROR(INDEX(TankaData[教材費(標準)],MATCH(E70,TankaData[コース],0)),0)</f>
        <v/>
      </c>
      <c r="J70" s="28">
        <f>F70*H70</f>
        <v/>
      </c>
      <c r="K70" s="28">
        <f>J70+I70+ROUND((J70+I70)*0.1,0)</f>
        <v/>
      </c>
      <c r="L70" t="inlineStr">
        <is>
          <t>seito067@example.com</t>
        </is>
      </c>
      <c r="M70" s="44" t="inlineStr">
        <is>
          <t>📧 Gmailを開く</t>
        </is>
      </c>
      <c r="N70" s="45">
        <f>"教室："&amp;C70&amp;"／コース："&amp;E70&amp;"／コマ数："&amp;H70&amp;"コマ／授業料："&amp;TEXT(J70,"#,##0")&amp;"円／教材費："&amp;TEXT(I70,"#,##0")&amp;"円／消費税："&amp;TEXT(ROUND((J70+I70)*0.1,0),"#,##0")&amp;"円／請求額："&amp;TEXT(K70,"#,##0")&amp;"円"</f>
        <v/>
      </c>
      <c r="O70">
        <f>A70&amp;"："&amp;B70</f>
        <v/>
      </c>
    </row>
    <row r="71">
      <c r="A71" s="42">
        <f>ROW()-3</f>
        <v/>
      </c>
      <c r="B71" t="inlineStr">
        <is>
          <t>松本拓也</t>
        </is>
      </c>
      <c r="C71" s="42" t="inlineStr">
        <is>
          <t>本校</t>
        </is>
      </c>
      <c r="D71" s="42" t="inlineStr">
        <is>
          <t>小4</t>
        </is>
      </c>
      <c r="E71" s="42" t="inlineStr">
        <is>
          <t>集団授業</t>
        </is>
      </c>
      <c r="F71" s="28">
        <f>IFERROR(INDEX(TankaData[1コマ単価],MATCH(E71,TankaData[コース],0)),0)</f>
        <v/>
      </c>
      <c r="G71" s="43" t="n">
        <v>5</v>
      </c>
      <c r="H71" s="29">
        <f>G71*4</f>
        <v/>
      </c>
      <c r="I71" s="28">
        <f>IFERROR(INDEX(TankaData[教材費(標準)],MATCH(E71,TankaData[コース],0)),0)</f>
        <v/>
      </c>
      <c r="J71" s="28">
        <f>F71*H71</f>
        <v/>
      </c>
      <c r="K71" s="28">
        <f>J71+I71+ROUND((J71+I71)*0.1,0)</f>
        <v/>
      </c>
      <c r="L71" t="inlineStr">
        <is>
          <t>seito068@example.com</t>
        </is>
      </c>
      <c r="M71" s="44" t="inlineStr">
        <is>
          <t>📧 Gmailを開く</t>
        </is>
      </c>
      <c r="N71" s="45">
        <f>"教室："&amp;C71&amp;"／コース："&amp;E71&amp;"／コマ数："&amp;H71&amp;"コマ／授業料："&amp;TEXT(J71,"#,##0")&amp;"円／教材費："&amp;TEXT(I71,"#,##0")&amp;"円／消費税："&amp;TEXT(ROUND((J71+I71)*0.1,0),"#,##0")&amp;"円／請求額："&amp;TEXT(K71,"#,##0")&amp;"円"</f>
        <v/>
      </c>
      <c r="O71">
        <f>A71&amp;"："&amp;B71</f>
        <v/>
      </c>
    </row>
    <row r="72">
      <c r="A72" s="42">
        <f>ROW()-3</f>
        <v/>
      </c>
      <c r="B72" t="inlineStr">
        <is>
          <t>高橋陽菜</t>
        </is>
      </c>
      <c r="C72" s="42" t="inlineStr">
        <is>
          <t>本校</t>
        </is>
      </c>
      <c r="D72" s="42" t="inlineStr">
        <is>
          <t>高1</t>
        </is>
      </c>
      <c r="E72" s="42" t="inlineStr">
        <is>
          <t>集団授業</t>
        </is>
      </c>
      <c r="F72" s="28">
        <f>IFERROR(INDEX(TankaData[1コマ単価],MATCH(E72,TankaData[コース],0)),0)</f>
        <v/>
      </c>
      <c r="G72" s="43" t="n">
        <v>1</v>
      </c>
      <c r="H72" s="29">
        <f>G72*4</f>
        <v/>
      </c>
      <c r="I72" s="28">
        <f>IFERROR(INDEX(TankaData[教材費(標準)],MATCH(E72,TankaData[コース],0)),0)</f>
        <v/>
      </c>
      <c r="J72" s="28">
        <f>F72*H72</f>
        <v/>
      </c>
      <c r="K72" s="28">
        <f>J72+I72+ROUND((J72+I72)*0.1,0)</f>
        <v/>
      </c>
      <c r="L72" t="inlineStr">
        <is>
          <t>seito069@example.com</t>
        </is>
      </c>
      <c r="M72" s="44" t="inlineStr">
        <is>
          <t>📧 Gmailを開く</t>
        </is>
      </c>
      <c r="N72" s="45">
        <f>"教室："&amp;C72&amp;"／コース："&amp;E72&amp;"／コマ数："&amp;H72&amp;"コマ／授業料："&amp;TEXT(J72,"#,##0")&amp;"円／教材費："&amp;TEXT(I72,"#,##0")&amp;"円／消費税："&amp;TEXT(ROUND((J72+I72)*0.1,0),"#,##0")&amp;"円／請求額："&amp;TEXT(K72,"#,##0")&amp;"円"</f>
        <v/>
      </c>
      <c r="O72">
        <f>A72&amp;"："&amp;B72</f>
        <v/>
      </c>
    </row>
    <row r="73">
      <c r="A73" s="42">
        <f>ROW()-3</f>
        <v/>
      </c>
      <c r="B73" t="inlineStr">
        <is>
          <t>青木湊</t>
        </is>
      </c>
      <c r="C73" s="42" t="inlineStr">
        <is>
          <t>本校</t>
        </is>
      </c>
      <c r="D73" s="42" t="inlineStr">
        <is>
          <t>高3</t>
        </is>
      </c>
      <c r="E73" s="42" t="inlineStr">
        <is>
          <t>集団授業</t>
        </is>
      </c>
      <c r="F73" s="28">
        <f>IFERROR(INDEX(TankaData[1コマ単価],MATCH(E73,TankaData[コース],0)),0)</f>
        <v/>
      </c>
      <c r="G73" s="43" t="n">
        <v>1</v>
      </c>
      <c r="H73" s="29">
        <f>G73*4</f>
        <v/>
      </c>
      <c r="I73" s="28">
        <f>IFERROR(INDEX(TankaData[教材費(標準)],MATCH(E73,TankaData[コース],0)),0)</f>
        <v/>
      </c>
      <c r="J73" s="28">
        <f>F73*H73</f>
        <v/>
      </c>
      <c r="K73" s="28">
        <f>J73+I73+ROUND((J73+I73)*0.1,0)</f>
        <v/>
      </c>
      <c r="L73" t="inlineStr">
        <is>
          <t>seito070@example.com</t>
        </is>
      </c>
      <c r="M73" s="44" t="inlineStr">
        <is>
          <t>📧 Gmailを開く</t>
        </is>
      </c>
      <c r="N73" s="45">
        <f>"教室："&amp;C73&amp;"／コース："&amp;E73&amp;"／コマ数："&amp;H73&amp;"コマ／授業料："&amp;TEXT(J73,"#,##0")&amp;"円／教材費："&amp;TEXT(I73,"#,##0")&amp;"円／消費税："&amp;TEXT(ROUND((J73+I73)*0.1,0),"#,##0")&amp;"円／請求額："&amp;TEXT(K73,"#,##0")&amp;"円"</f>
        <v/>
      </c>
      <c r="O73">
        <f>A73&amp;"："&amp;B73</f>
        <v/>
      </c>
    </row>
    <row r="74">
      <c r="A74" s="42">
        <f>ROW()-3</f>
        <v/>
      </c>
      <c r="B74" t="inlineStr">
        <is>
          <t>鈴木琴音</t>
        </is>
      </c>
      <c r="C74" s="42" t="inlineStr">
        <is>
          <t>東校</t>
        </is>
      </c>
      <c r="D74" s="42" t="inlineStr">
        <is>
          <t>高1</t>
        </is>
      </c>
      <c r="E74" s="42" t="inlineStr">
        <is>
          <t>映像授業</t>
        </is>
      </c>
      <c r="F74" s="28">
        <f>IFERROR(INDEX(TankaData[1コマ単価],MATCH(E74,TankaData[コース],0)),0)</f>
        <v/>
      </c>
      <c r="G74" s="43" t="n">
        <v>1</v>
      </c>
      <c r="H74" s="29">
        <f>G74*4</f>
        <v/>
      </c>
      <c r="I74" s="28">
        <f>IFERROR(INDEX(TankaData[教材費(標準)],MATCH(E74,TankaData[コース],0)),0)</f>
        <v/>
      </c>
      <c r="J74" s="28">
        <f>F74*H74</f>
        <v/>
      </c>
      <c r="K74" s="28">
        <f>J74+I74+ROUND((J74+I74)*0.1,0)</f>
        <v/>
      </c>
      <c r="L74" t="inlineStr">
        <is>
          <t>seito071@example.com</t>
        </is>
      </c>
      <c r="M74" s="44" t="inlineStr">
        <is>
          <t>📧 Gmailを開く</t>
        </is>
      </c>
      <c r="N74" s="45">
        <f>"教室："&amp;C74&amp;"／コース："&amp;E74&amp;"／コマ数："&amp;H74&amp;"コマ／授業料："&amp;TEXT(J74,"#,##0")&amp;"円／教材費："&amp;TEXT(I74,"#,##0")&amp;"円／消費税："&amp;TEXT(ROUND((J74+I74)*0.1,0),"#,##0")&amp;"円／請求額："&amp;TEXT(K74,"#,##0")&amp;"円"</f>
        <v/>
      </c>
      <c r="O74">
        <f>A74&amp;"："&amp;B74</f>
        <v/>
      </c>
    </row>
    <row r="75">
      <c r="A75" s="42">
        <f>ROW()-3</f>
        <v/>
      </c>
      <c r="B75" t="inlineStr">
        <is>
          <t>岡本彩花</t>
        </is>
      </c>
      <c r="C75" s="42" t="inlineStr">
        <is>
          <t>東校</t>
        </is>
      </c>
      <c r="D75" s="42" t="inlineStr">
        <is>
          <t>高1</t>
        </is>
      </c>
      <c r="E75" s="42" t="inlineStr">
        <is>
          <t>集団授業</t>
        </is>
      </c>
      <c r="F75" s="28">
        <f>IFERROR(INDEX(TankaData[1コマ単価],MATCH(E75,TankaData[コース],0)),0)</f>
        <v/>
      </c>
      <c r="G75" s="43" t="n">
        <v>4</v>
      </c>
      <c r="H75" s="29">
        <f>G75*4</f>
        <v/>
      </c>
      <c r="I75" s="28">
        <f>IFERROR(INDEX(TankaData[教材費(標準)],MATCH(E75,TankaData[コース],0)),0)</f>
        <v/>
      </c>
      <c r="J75" s="28">
        <f>F75*H75</f>
        <v/>
      </c>
      <c r="K75" s="28">
        <f>J75+I75+ROUND((J75+I75)*0.1,0)</f>
        <v/>
      </c>
      <c r="L75" t="inlineStr">
        <is>
          <t>seito072@example.com</t>
        </is>
      </c>
      <c r="M75" s="44" t="inlineStr">
        <is>
          <t>📧 Gmailを開く</t>
        </is>
      </c>
      <c r="N75" s="45">
        <f>"教室："&amp;C75&amp;"／コース："&amp;E75&amp;"／コマ数："&amp;H75&amp;"コマ／授業料："&amp;TEXT(J75,"#,##0")&amp;"円／教材費："&amp;TEXT(I75,"#,##0")&amp;"円／消費税："&amp;TEXT(ROUND((J75+I75)*0.1,0),"#,##0")&amp;"円／請求額："&amp;TEXT(K75,"#,##0")&amp;"円"</f>
        <v/>
      </c>
      <c r="O75">
        <f>A75&amp;"："&amp;B75</f>
        <v/>
      </c>
    </row>
    <row r="76">
      <c r="A76" s="42">
        <f>ROW()-3</f>
        <v/>
      </c>
      <c r="B76" t="inlineStr">
        <is>
          <t>井上蓮</t>
        </is>
      </c>
      <c r="C76" s="42" t="inlineStr">
        <is>
          <t>東校</t>
        </is>
      </c>
      <c r="D76" s="42" t="inlineStr">
        <is>
          <t>小6</t>
        </is>
      </c>
      <c r="E76" s="42" t="inlineStr">
        <is>
          <t>映像授業</t>
        </is>
      </c>
      <c r="F76" s="28">
        <f>IFERROR(INDEX(TankaData[1コマ単価],MATCH(E76,TankaData[コース],0)),0)</f>
        <v/>
      </c>
      <c r="G76" s="43" t="n">
        <v>2</v>
      </c>
      <c r="H76" s="29">
        <f>G76*4</f>
        <v/>
      </c>
      <c r="I76" s="28">
        <f>IFERROR(INDEX(TankaData[教材費(標準)],MATCH(E76,TankaData[コース],0)),0)</f>
        <v/>
      </c>
      <c r="J76" s="28">
        <f>F76*H76</f>
        <v/>
      </c>
      <c r="K76" s="28">
        <f>J76+I76+ROUND((J76+I76)*0.1,0)</f>
        <v/>
      </c>
      <c r="L76" t="inlineStr">
        <is>
          <t>seito073@example.com</t>
        </is>
      </c>
      <c r="M76" s="44" t="inlineStr">
        <is>
          <t>📧 Gmailを開く</t>
        </is>
      </c>
      <c r="N76" s="45">
        <f>"教室："&amp;C76&amp;"／コース："&amp;E76&amp;"／コマ数："&amp;H76&amp;"コマ／授業料："&amp;TEXT(J76,"#,##0")&amp;"円／教材費："&amp;TEXT(I76,"#,##0")&amp;"円／消費税："&amp;TEXT(ROUND((J76+I76)*0.1,0),"#,##0")&amp;"円／請求額："&amp;TEXT(K76,"#,##0")&amp;"円"</f>
        <v/>
      </c>
      <c r="O76">
        <f>A76&amp;"："&amp;B76</f>
        <v/>
      </c>
    </row>
    <row r="77">
      <c r="A77" s="42">
        <f>ROW()-3</f>
        <v/>
      </c>
      <c r="B77" t="inlineStr">
        <is>
          <t>加藤一輝</t>
        </is>
      </c>
      <c r="C77" s="42" t="inlineStr">
        <is>
          <t>東校</t>
        </is>
      </c>
      <c r="D77" s="42" t="inlineStr">
        <is>
          <t>高3</t>
        </is>
      </c>
      <c r="E77" s="42" t="inlineStr">
        <is>
          <t>集団授業</t>
        </is>
      </c>
      <c r="F77" s="28">
        <f>IFERROR(INDEX(TankaData[1コマ単価],MATCH(E77,TankaData[コース],0)),0)</f>
        <v/>
      </c>
      <c r="G77" s="43" t="n">
        <v>5</v>
      </c>
      <c r="H77" s="29">
        <f>G77*4</f>
        <v/>
      </c>
      <c r="I77" s="28">
        <f>IFERROR(INDEX(TankaData[教材費(標準)],MATCH(E77,TankaData[コース],0)),0)</f>
        <v/>
      </c>
      <c r="J77" s="28">
        <f>F77*H77</f>
        <v/>
      </c>
      <c r="K77" s="28">
        <f>J77+I77+ROUND((J77+I77)*0.1,0)</f>
        <v/>
      </c>
      <c r="L77" t="inlineStr">
        <is>
          <t>seito074@example.com</t>
        </is>
      </c>
      <c r="M77" s="44" t="inlineStr">
        <is>
          <t>📧 Gmailを開く</t>
        </is>
      </c>
      <c r="N77" s="45">
        <f>"教室："&amp;C77&amp;"／コース："&amp;E77&amp;"／コマ数："&amp;H77&amp;"コマ／授業料："&amp;TEXT(J77,"#,##0")&amp;"円／教材費："&amp;TEXT(I77,"#,##0")&amp;"円／消費税："&amp;TEXT(ROUND((J77+I77)*0.1,0),"#,##0")&amp;"円／請求額："&amp;TEXT(K77,"#,##0")&amp;"円"</f>
        <v/>
      </c>
      <c r="O77">
        <f>A77&amp;"："&amp;B77</f>
        <v/>
      </c>
    </row>
    <row r="78">
      <c r="A78" s="42">
        <f>ROW()-3</f>
        <v/>
      </c>
      <c r="B78" t="inlineStr">
        <is>
          <t>渡辺煌</t>
        </is>
      </c>
      <c r="C78" s="42" t="inlineStr">
        <is>
          <t>東校</t>
        </is>
      </c>
      <c r="D78" s="42" t="inlineStr">
        <is>
          <t>高3</t>
        </is>
      </c>
      <c r="E78" s="42" t="inlineStr">
        <is>
          <t>映像授業</t>
        </is>
      </c>
      <c r="F78" s="28">
        <f>IFERROR(INDEX(TankaData[1コマ単価],MATCH(E78,TankaData[コース],0)),0)</f>
        <v/>
      </c>
      <c r="G78" s="43" t="n">
        <v>4</v>
      </c>
      <c r="H78" s="29">
        <f>G78*4</f>
        <v/>
      </c>
      <c r="I78" s="28">
        <f>IFERROR(INDEX(TankaData[教材費(標準)],MATCH(E78,TankaData[コース],0)),0)</f>
        <v/>
      </c>
      <c r="J78" s="28">
        <f>F78*H78</f>
        <v/>
      </c>
      <c r="K78" s="28">
        <f>J78+I78+ROUND((J78+I78)*0.1,0)</f>
        <v/>
      </c>
      <c r="L78" t="inlineStr">
        <is>
          <t>seito075@example.com</t>
        </is>
      </c>
      <c r="M78" s="44" t="inlineStr">
        <is>
          <t>📧 Gmailを開く</t>
        </is>
      </c>
      <c r="N78" s="45">
        <f>"教室："&amp;C78&amp;"／コース："&amp;E78&amp;"／コマ数："&amp;H78&amp;"コマ／授業料："&amp;TEXT(J78,"#,##0")&amp;"円／教材費："&amp;TEXT(I78,"#,##0")&amp;"円／消費税："&amp;TEXT(ROUND((J78+I78)*0.1,0),"#,##0")&amp;"円／請求額："&amp;TEXT(K78,"#,##0")&amp;"円"</f>
        <v/>
      </c>
      <c r="O78">
        <f>A78&amp;"："&amp;B78</f>
        <v/>
      </c>
    </row>
    <row r="79">
      <c r="A79" s="42">
        <f>ROW()-3</f>
        <v/>
      </c>
      <c r="B79" t="inlineStr">
        <is>
          <t>小川美月</t>
        </is>
      </c>
      <c r="C79" s="42" t="inlineStr">
        <is>
          <t>東校</t>
        </is>
      </c>
      <c r="D79" s="42" t="inlineStr">
        <is>
          <t>高1</t>
        </is>
      </c>
      <c r="E79" s="42" t="inlineStr">
        <is>
          <t>集団授業</t>
        </is>
      </c>
      <c r="F79" s="28">
        <f>IFERROR(INDEX(TankaData[1コマ単価],MATCH(E79,TankaData[コース],0)),0)</f>
        <v/>
      </c>
      <c r="G79" s="43" t="n">
        <v>3</v>
      </c>
      <c r="H79" s="29">
        <f>G79*4</f>
        <v/>
      </c>
      <c r="I79" s="28">
        <f>IFERROR(INDEX(TankaData[教材費(標準)],MATCH(E79,TankaData[コース],0)),0)</f>
        <v/>
      </c>
      <c r="J79" s="28">
        <f>F79*H79</f>
        <v/>
      </c>
      <c r="K79" s="28">
        <f>J79+I79+ROUND((J79+I79)*0.1,0)</f>
        <v/>
      </c>
      <c r="L79" t="inlineStr">
        <is>
          <t>seito076@example.com</t>
        </is>
      </c>
      <c r="M79" s="44" t="inlineStr">
        <is>
          <t>📧 Gmailを開く</t>
        </is>
      </c>
      <c r="N79" s="45">
        <f>"教室："&amp;C79&amp;"／コース："&amp;E79&amp;"／コマ数："&amp;H79&amp;"コマ／授業料："&amp;TEXT(J79,"#,##0")&amp;"円／教材費："&amp;TEXT(I79,"#,##0")&amp;"円／消費税："&amp;TEXT(ROUND((J79+I79)*0.1,0),"#,##0")&amp;"円／請求額："&amp;TEXT(K79,"#,##0")&amp;"円"</f>
        <v/>
      </c>
      <c r="O79">
        <f>A79&amp;"："&amp;B79</f>
        <v/>
      </c>
    </row>
    <row r="80">
      <c r="A80" s="42">
        <f>ROW()-3</f>
        <v/>
      </c>
      <c r="B80" t="inlineStr">
        <is>
          <t>岡本陽向</t>
        </is>
      </c>
      <c r="C80" s="42" t="inlineStr">
        <is>
          <t>東校</t>
        </is>
      </c>
      <c r="D80" s="42" t="inlineStr">
        <is>
          <t>中1</t>
        </is>
      </c>
      <c r="E80" s="42" t="inlineStr">
        <is>
          <t>個別指導S</t>
        </is>
      </c>
      <c r="F80" s="28">
        <f>IFERROR(INDEX(TankaData[1コマ単価],MATCH(E80,TankaData[コース],0)),0)</f>
        <v/>
      </c>
      <c r="G80" s="43" t="n">
        <v>3</v>
      </c>
      <c r="H80" s="29">
        <f>G80*4</f>
        <v/>
      </c>
      <c r="I80" s="28">
        <f>IFERROR(INDEX(TankaData[教材費(標準)],MATCH(E80,TankaData[コース],0)),0)</f>
        <v/>
      </c>
      <c r="J80" s="28">
        <f>F80*H80</f>
        <v/>
      </c>
      <c r="K80" s="28">
        <f>J80+I80+ROUND((J80+I80)*0.1,0)</f>
        <v/>
      </c>
      <c r="L80" t="inlineStr">
        <is>
          <t>seito077@example.com</t>
        </is>
      </c>
      <c r="M80" s="44" t="inlineStr">
        <is>
          <t>📧 Gmailを開く</t>
        </is>
      </c>
      <c r="N80" s="45">
        <f>"教室："&amp;C80&amp;"／コース："&amp;E80&amp;"／コマ数："&amp;H80&amp;"コマ／授業料："&amp;TEXT(J80,"#,##0")&amp;"円／教材費："&amp;TEXT(I80,"#,##0")&amp;"円／消費税："&amp;TEXT(ROUND((J80+I80)*0.1,0),"#,##0")&amp;"円／請求額："&amp;TEXT(K80,"#,##0")&amp;"円"</f>
        <v/>
      </c>
      <c r="O80">
        <f>A80&amp;"："&amp;B80</f>
        <v/>
      </c>
    </row>
    <row r="81">
      <c r="A81" s="42">
        <f>ROW()-3</f>
        <v/>
      </c>
      <c r="B81" t="inlineStr">
        <is>
          <t>小川陽向</t>
        </is>
      </c>
      <c r="C81" s="42" t="inlineStr">
        <is>
          <t>東校</t>
        </is>
      </c>
      <c r="D81" s="42" t="inlineStr">
        <is>
          <t>高2</t>
        </is>
      </c>
      <c r="E81" s="42" t="inlineStr">
        <is>
          <t>個別指導</t>
        </is>
      </c>
      <c r="F81" s="28">
        <f>IFERROR(INDEX(TankaData[1コマ単価],MATCH(E81,TankaData[コース],0)),0)</f>
        <v/>
      </c>
      <c r="G81" s="43" t="n">
        <v>4</v>
      </c>
      <c r="H81" s="29">
        <f>G81*4</f>
        <v/>
      </c>
      <c r="I81" s="28">
        <f>IFERROR(INDEX(TankaData[教材費(標準)],MATCH(E81,TankaData[コース],0)),0)</f>
        <v/>
      </c>
      <c r="J81" s="28">
        <f>F81*H81</f>
        <v/>
      </c>
      <c r="K81" s="28">
        <f>J81+I81+ROUND((J81+I81)*0.1,0)</f>
        <v/>
      </c>
      <c r="L81" t="inlineStr">
        <is>
          <t>seito078@example.com</t>
        </is>
      </c>
      <c r="M81" s="44" t="inlineStr">
        <is>
          <t>📧 Gmailを開く</t>
        </is>
      </c>
      <c r="N81" s="45">
        <f>"教室："&amp;C81&amp;"／コース："&amp;E81&amp;"／コマ数："&amp;H81&amp;"コマ／授業料："&amp;TEXT(J81,"#,##0")&amp;"円／教材費："&amp;TEXT(I81,"#,##0")&amp;"円／消費税："&amp;TEXT(ROUND((J81+I81)*0.1,0),"#,##0")&amp;"円／請求額："&amp;TEXT(K81,"#,##0")&amp;"円"</f>
        <v/>
      </c>
      <c r="O81">
        <f>A81&amp;"："&amp;B81</f>
        <v/>
      </c>
    </row>
    <row r="82">
      <c r="A82" s="42">
        <f>ROW()-3</f>
        <v/>
      </c>
      <c r="B82" t="inlineStr">
        <is>
          <t>田中結衣</t>
        </is>
      </c>
      <c r="C82" s="42" t="inlineStr">
        <is>
          <t>東校</t>
        </is>
      </c>
      <c r="D82" s="42" t="inlineStr">
        <is>
          <t>高1</t>
        </is>
      </c>
      <c r="E82" s="42" t="inlineStr">
        <is>
          <t>集団授業</t>
        </is>
      </c>
      <c r="F82" s="28">
        <f>IFERROR(INDEX(TankaData[1コマ単価],MATCH(E82,TankaData[コース],0)),0)</f>
        <v/>
      </c>
      <c r="G82" s="43" t="n">
        <v>1</v>
      </c>
      <c r="H82" s="29">
        <f>G82*4</f>
        <v/>
      </c>
      <c r="I82" s="28">
        <f>IFERROR(INDEX(TankaData[教材費(標準)],MATCH(E82,TankaData[コース],0)),0)</f>
        <v/>
      </c>
      <c r="J82" s="28">
        <f>F82*H82</f>
        <v/>
      </c>
      <c r="K82" s="28">
        <f>J82+I82+ROUND((J82+I82)*0.1,0)</f>
        <v/>
      </c>
      <c r="L82" t="inlineStr">
        <is>
          <t>seito079@example.com</t>
        </is>
      </c>
      <c r="M82" s="44" t="inlineStr">
        <is>
          <t>📧 Gmailを開く</t>
        </is>
      </c>
      <c r="N82" s="45">
        <f>"教室："&amp;C82&amp;"／コース："&amp;E82&amp;"／コマ数："&amp;H82&amp;"コマ／授業料："&amp;TEXT(J82,"#,##0")&amp;"円／教材費："&amp;TEXT(I82,"#,##0")&amp;"円／消費税："&amp;TEXT(ROUND((J82+I82)*0.1,0),"#,##0")&amp;"円／請求額："&amp;TEXT(K82,"#,##0")&amp;"円"</f>
        <v/>
      </c>
      <c r="O82">
        <f>A82&amp;"："&amp;B82</f>
        <v/>
      </c>
    </row>
    <row r="83">
      <c r="A83" s="42">
        <f>ROW()-3</f>
        <v/>
      </c>
      <c r="B83" t="inlineStr">
        <is>
          <t>橋本煌</t>
        </is>
      </c>
      <c r="C83" s="42" t="inlineStr">
        <is>
          <t>東校</t>
        </is>
      </c>
      <c r="D83" s="42" t="inlineStr">
        <is>
          <t>高2</t>
        </is>
      </c>
      <c r="E83" s="42" t="inlineStr">
        <is>
          <t>集団授業</t>
        </is>
      </c>
      <c r="F83" s="28">
        <f>IFERROR(INDEX(TankaData[1コマ単価],MATCH(E83,TankaData[コース],0)),0)</f>
        <v/>
      </c>
      <c r="G83" s="43" t="n">
        <v>2</v>
      </c>
      <c r="H83" s="29">
        <f>G83*4</f>
        <v/>
      </c>
      <c r="I83" s="28">
        <f>IFERROR(INDEX(TankaData[教材費(標準)],MATCH(E83,TankaData[コース],0)),0)</f>
        <v/>
      </c>
      <c r="J83" s="28">
        <f>F83*H83</f>
        <v/>
      </c>
      <c r="K83" s="28">
        <f>J83+I83+ROUND((J83+I83)*0.1,0)</f>
        <v/>
      </c>
      <c r="L83" t="inlineStr">
        <is>
          <t>seito080@example.com</t>
        </is>
      </c>
      <c r="M83" s="44" t="inlineStr">
        <is>
          <t>📧 Gmailを開く</t>
        </is>
      </c>
      <c r="N83" s="45">
        <f>"教室："&amp;C83&amp;"／コース："&amp;E83&amp;"／コマ数："&amp;H83&amp;"コマ／授業料："&amp;TEXT(J83,"#,##0")&amp;"円／教材費："&amp;TEXT(I83,"#,##0")&amp;"円／消費税："&amp;TEXT(ROUND((J83+I83)*0.1,0),"#,##0")&amp;"円／請求額："&amp;TEXT(K83,"#,##0")&amp;"円"</f>
        <v/>
      </c>
      <c r="O83">
        <f>A83&amp;"："&amp;B83</f>
        <v/>
      </c>
    </row>
    <row r="84">
      <c r="A84" s="42">
        <f>ROW()-3</f>
        <v/>
      </c>
      <c r="B84" t="inlineStr">
        <is>
          <t>松本萌</t>
        </is>
      </c>
      <c r="C84" s="42" t="inlineStr">
        <is>
          <t>東校</t>
        </is>
      </c>
      <c r="D84" s="42" t="inlineStr">
        <is>
          <t>高2</t>
        </is>
      </c>
      <c r="E84" s="42" t="inlineStr">
        <is>
          <t>個別指導</t>
        </is>
      </c>
      <c r="F84" s="28">
        <f>IFERROR(INDEX(TankaData[1コマ単価],MATCH(E84,TankaData[コース],0)),0)</f>
        <v/>
      </c>
      <c r="G84" s="43" t="n">
        <v>3</v>
      </c>
      <c r="H84" s="29">
        <f>G84*4</f>
        <v/>
      </c>
      <c r="I84" s="28">
        <f>IFERROR(INDEX(TankaData[教材費(標準)],MATCH(E84,TankaData[コース],0)),0)</f>
        <v/>
      </c>
      <c r="J84" s="28">
        <f>F84*H84</f>
        <v/>
      </c>
      <c r="K84" s="28">
        <f>J84+I84+ROUND((J84+I84)*0.1,0)</f>
        <v/>
      </c>
      <c r="L84" t="inlineStr">
        <is>
          <t>seito081@example.com</t>
        </is>
      </c>
      <c r="M84" s="44" t="inlineStr">
        <is>
          <t>📧 Gmailを開く</t>
        </is>
      </c>
      <c r="N84" s="45">
        <f>"教室："&amp;C84&amp;"／コース："&amp;E84&amp;"／コマ数："&amp;H84&amp;"コマ／授業料："&amp;TEXT(J84,"#,##0")&amp;"円／教材費："&amp;TEXT(I84,"#,##0")&amp;"円／消費税："&amp;TEXT(ROUND((J84+I84)*0.1,0),"#,##0")&amp;"円／請求額："&amp;TEXT(K84,"#,##0")&amp;"円"</f>
        <v/>
      </c>
      <c r="O84">
        <f>A84&amp;"："&amp;B84</f>
        <v/>
      </c>
    </row>
    <row r="85">
      <c r="A85" s="42">
        <f>ROW()-3</f>
        <v/>
      </c>
      <c r="B85" t="inlineStr">
        <is>
          <t>小野結衣</t>
        </is>
      </c>
      <c r="C85" s="42" t="inlineStr">
        <is>
          <t>東校</t>
        </is>
      </c>
      <c r="D85" s="42" t="inlineStr">
        <is>
          <t>中2</t>
        </is>
      </c>
      <c r="E85" s="42" t="inlineStr">
        <is>
          <t>集団授業</t>
        </is>
      </c>
      <c r="F85" s="28">
        <f>IFERROR(INDEX(TankaData[1コマ単価],MATCH(E85,TankaData[コース],0)),0)</f>
        <v/>
      </c>
      <c r="G85" s="43" t="n">
        <v>3</v>
      </c>
      <c r="H85" s="29">
        <f>G85*4</f>
        <v/>
      </c>
      <c r="I85" s="28">
        <f>IFERROR(INDEX(TankaData[教材費(標準)],MATCH(E85,TankaData[コース],0)),0)</f>
        <v/>
      </c>
      <c r="J85" s="28">
        <f>F85*H85</f>
        <v/>
      </c>
      <c r="K85" s="28">
        <f>J85+I85+ROUND((J85+I85)*0.1,0)</f>
        <v/>
      </c>
      <c r="L85" t="inlineStr">
        <is>
          <t>seito082@example.com</t>
        </is>
      </c>
      <c r="M85" s="44" t="inlineStr">
        <is>
          <t>📧 Gmailを開く</t>
        </is>
      </c>
      <c r="N85" s="45">
        <f>"教室："&amp;C85&amp;"／コース："&amp;E85&amp;"／コマ数："&amp;H85&amp;"コマ／授業料："&amp;TEXT(J85,"#,##0")&amp;"円／教材費："&amp;TEXT(I85,"#,##0")&amp;"円／消費税："&amp;TEXT(ROUND((J85+I85)*0.1,0),"#,##0")&amp;"円／請求額："&amp;TEXT(K85,"#,##0")&amp;"円"</f>
        <v/>
      </c>
      <c r="O85">
        <f>A85&amp;"："&amp;B85</f>
        <v/>
      </c>
    </row>
    <row r="86">
      <c r="A86" s="42">
        <f>ROW()-3</f>
        <v/>
      </c>
      <c r="B86" t="inlineStr">
        <is>
          <t>藤井陽向</t>
        </is>
      </c>
      <c r="C86" s="42" t="inlineStr">
        <is>
          <t>東校</t>
        </is>
      </c>
      <c r="D86" s="42" t="inlineStr">
        <is>
          <t>中2</t>
        </is>
      </c>
      <c r="E86" s="42" t="inlineStr">
        <is>
          <t>個別指導S</t>
        </is>
      </c>
      <c r="F86" s="28">
        <f>IFERROR(INDEX(TankaData[1コマ単価],MATCH(E86,TankaData[コース],0)),0)</f>
        <v/>
      </c>
      <c r="G86" s="43" t="n">
        <v>5</v>
      </c>
      <c r="H86" s="29">
        <f>G86*4</f>
        <v/>
      </c>
      <c r="I86" s="28">
        <f>IFERROR(INDEX(TankaData[教材費(標準)],MATCH(E86,TankaData[コース],0)),0)</f>
        <v/>
      </c>
      <c r="J86" s="28">
        <f>F86*H86</f>
        <v/>
      </c>
      <c r="K86" s="28">
        <f>J86+I86+ROUND((J86+I86)*0.1,0)</f>
        <v/>
      </c>
      <c r="L86" t="inlineStr">
        <is>
          <t>seito083@example.com</t>
        </is>
      </c>
      <c r="M86" s="44" t="inlineStr">
        <is>
          <t>📧 Gmailを開く</t>
        </is>
      </c>
      <c r="N86" s="45">
        <f>"教室："&amp;C86&amp;"／コース："&amp;E86&amp;"／コマ数："&amp;H86&amp;"コマ／授業料："&amp;TEXT(J86,"#,##0")&amp;"円／教材費："&amp;TEXT(I86,"#,##0")&amp;"円／消費税："&amp;TEXT(ROUND((J86+I86)*0.1,0),"#,##0")&amp;"円／請求額："&amp;TEXT(K86,"#,##0")&amp;"円"</f>
        <v/>
      </c>
      <c r="O86">
        <f>A86&amp;"："&amp;B86</f>
        <v/>
      </c>
    </row>
    <row r="87">
      <c r="A87" s="42">
        <f>ROW()-3</f>
        <v/>
      </c>
      <c r="B87" t="inlineStr">
        <is>
          <t>村上尊</t>
        </is>
      </c>
      <c r="C87" s="42" t="inlineStr">
        <is>
          <t>東校</t>
        </is>
      </c>
      <c r="D87" s="42" t="inlineStr">
        <is>
          <t>中1</t>
        </is>
      </c>
      <c r="E87" s="42" t="inlineStr">
        <is>
          <t>個別指導S</t>
        </is>
      </c>
      <c r="F87" s="28">
        <f>IFERROR(INDEX(TankaData[1コマ単価],MATCH(E87,TankaData[コース],0)),0)</f>
        <v/>
      </c>
      <c r="G87" s="43" t="n">
        <v>2</v>
      </c>
      <c r="H87" s="29">
        <f>G87*4</f>
        <v/>
      </c>
      <c r="I87" s="28">
        <f>IFERROR(INDEX(TankaData[教材費(標準)],MATCH(E87,TankaData[コース],0)),0)</f>
        <v/>
      </c>
      <c r="J87" s="28">
        <f>F87*H87</f>
        <v/>
      </c>
      <c r="K87" s="28">
        <f>J87+I87+ROUND((J87+I87)*0.1,0)</f>
        <v/>
      </c>
      <c r="L87" t="inlineStr">
        <is>
          <t>seito084@example.com</t>
        </is>
      </c>
      <c r="M87" s="44" t="inlineStr">
        <is>
          <t>📧 Gmailを開く</t>
        </is>
      </c>
      <c r="N87" s="45">
        <f>"教室："&amp;C87&amp;"／コース："&amp;E87&amp;"／コマ数："&amp;H87&amp;"コマ／授業料："&amp;TEXT(J87,"#,##0")&amp;"円／教材費："&amp;TEXT(I87,"#,##0")&amp;"円／消費税："&amp;TEXT(ROUND((J87+I87)*0.1,0),"#,##0")&amp;"円／請求額："&amp;TEXT(K87,"#,##0")&amp;"円"</f>
        <v/>
      </c>
      <c r="O87">
        <f>A87&amp;"："&amp;B87</f>
        <v/>
      </c>
    </row>
    <row r="88">
      <c r="A88" s="42">
        <f>ROW()-3</f>
        <v/>
      </c>
      <c r="B88" t="inlineStr">
        <is>
          <t>山田花音</t>
        </is>
      </c>
      <c r="C88" s="42" t="inlineStr">
        <is>
          <t>東校</t>
        </is>
      </c>
      <c r="D88" s="42" t="inlineStr">
        <is>
          <t>高1</t>
        </is>
      </c>
      <c r="E88" s="42" t="inlineStr">
        <is>
          <t>映像授業</t>
        </is>
      </c>
      <c r="F88" s="28">
        <f>IFERROR(INDEX(TankaData[1コマ単価],MATCH(E88,TankaData[コース],0)),0)</f>
        <v/>
      </c>
      <c r="G88" s="43" t="n">
        <v>5</v>
      </c>
      <c r="H88" s="29">
        <f>G88*4</f>
        <v/>
      </c>
      <c r="I88" s="28">
        <f>IFERROR(INDEX(TankaData[教材費(標準)],MATCH(E88,TankaData[コース],0)),0)</f>
        <v/>
      </c>
      <c r="J88" s="28">
        <f>F88*H88</f>
        <v/>
      </c>
      <c r="K88" s="28">
        <f>J88+I88+ROUND((J88+I88)*0.1,0)</f>
        <v/>
      </c>
      <c r="L88" t="inlineStr">
        <is>
          <t>seito085@example.com</t>
        </is>
      </c>
      <c r="M88" s="44" t="inlineStr">
        <is>
          <t>📧 Gmailを開く</t>
        </is>
      </c>
      <c r="N88" s="45">
        <f>"教室："&amp;C88&amp;"／コース："&amp;E88&amp;"／コマ数："&amp;H88&amp;"コマ／授業料："&amp;TEXT(J88,"#,##0")&amp;"円／教材費："&amp;TEXT(I88,"#,##0")&amp;"円／消費税："&amp;TEXT(ROUND((J88+I88)*0.1,0),"#,##0")&amp;"円／請求額："&amp;TEXT(K88,"#,##0")&amp;"円"</f>
        <v/>
      </c>
      <c r="O88">
        <f>A88&amp;"："&amp;B88</f>
        <v/>
      </c>
    </row>
    <row r="89">
      <c r="A89" s="42">
        <f>ROW()-3</f>
        <v/>
      </c>
      <c r="B89" t="inlineStr">
        <is>
          <t>小川駿</t>
        </is>
      </c>
      <c r="C89" s="42" t="inlineStr">
        <is>
          <t>東校</t>
        </is>
      </c>
      <c r="D89" s="42" t="inlineStr">
        <is>
          <t>中1</t>
        </is>
      </c>
      <c r="E89" s="42" t="inlineStr">
        <is>
          <t>映像授業</t>
        </is>
      </c>
      <c r="F89" s="28">
        <f>IFERROR(INDEX(TankaData[1コマ単価],MATCH(E89,TankaData[コース],0)),0)</f>
        <v/>
      </c>
      <c r="G89" s="43" t="n">
        <v>4</v>
      </c>
      <c r="H89" s="29">
        <f>G89*4</f>
        <v/>
      </c>
      <c r="I89" s="28">
        <f>IFERROR(INDEX(TankaData[教材費(標準)],MATCH(E89,TankaData[コース],0)),0)</f>
        <v/>
      </c>
      <c r="J89" s="28">
        <f>F89*H89</f>
        <v/>
      </c>
      <c r="K89" s="28">
        <f>J89+I89+ROUND((J89+I89)*0.1,0)</f>
        <v/>
      </c>
      <c r="L89" t="inlineStr">
        <is>
          <t>seito086@example.com</t>
        </is>
      </c>
      <c r="M89" s="44" t="inlineStr">
        <is>
          <t>📧 Gmailを開く</t>
        </is>
      </c>
      <c r="N89" s="45">
        <f>"教室："&amp;C89&amp;"／コース："&amp;E89&amp;"／コマ数："&amp;H89&amp;"コマ／授業料："&amp;TEXT(J89,"#,##0")&amp;"円／教材費："&amp;TEXT(I89,"#,##0")&amp;"円／消費税："&amp;TEXT(ROUND((J89+I89)*0.1,0),"#,##0")&amp;"円／請求額："&amp;TEXT(K89,"#,##0")&amp;"円"</f>
        <v/>
      </c>
      <c r="O89">
        <f>A89&amp;"："&amp;B89</f>
        <v/>
      </c>
    </row>
    <row r="90">
      <c r="A90" s="42">
        <f>ROW()-3</f>
        <v/>
      </c>
      <c r="B90" t="inlineStr">
        <is>
          <t>中野健太</t>
        </is>
      </c>
      <c r="C90" s="42" t="inlineStr">
        <is>
          <t>東校</t>
        </is>
      </c>
      <c r="D90" s="42" t="inlineStr">
        <is>
          <t>高2</t>
        </is>
      </c>
      <c r="E90" s="42" t="inlineStr">
        <is>
          <t>個別指導S</t>
        </is>
      </c>
      <c r="F90" s="28">
        <f>IFERROR(INDEX(TankaData[1コマ単価],MATCH(E90,TankaData[コース],0)),0)</f>
        <v/>
      </c>
      <c r="G90" s="43" t="n">
        <v>1</v>
      </c>
      <c r="H90" s="29">
        <f>G90*4</f>
        <v/>
      </c>
      <c r="I90" s="28">
        <f>IFERROR(INDEX(TankaData[教材費(標準)],MATCH(E90,TankaData[コース],0)),0)</f>
        <v/>
      </c>
      <c r="J90" s="28">
        <f>F90*H90</f>
        <v/>
      </c>
      <c r="K90" s="28">
        <f>J90+I90+ROUND((J90+I90)*0.1,0)</f>
        <v/>
      </c>
      <c r="L90" t="inlineStr">
        <is>
          <t>seito087@example.com</t>
        </is>
      </c>
      <c r="M90" s="44" t="inlineStr">
        <is>
          <t>📧 Gmailを開く</t>
        </is>
      </c>
      <c r="N90" s="45">
        <f>"教室："&amp;C90&amp;"／コース："&amp;E90&amp;"／コマ数："&amp;H90&amp;"コマ／授業料："&amp;TEXT(J90,"#,##0")&amp;"円／教材費："&amp;TEXT(I90,"#,##0")&amp;"円／消費税："&amp;TEXT(ROUND((J90+I90)*0.1,0),"#,##0")&amp;"円／請求額："&amp;TEXT(K90,"#,##0")&amp;"円"</f>
        <v/>
      </c>
      <c r="O90">
        <f>A90&amp;"："&amp;B90</f>
        <v/>
      </c>
    </row>
    <row r="91">
      <c r="A91" s="42">
        <f>ROW()-3</f>
        <v/>
      </c>
      <c r="B91" t="inlineStr">
        <is>
          <t>田中結翔</t>
        </is>
      </c>
      <c r="C91" s="42" t="inlineStr">
        <is>
          <t>東校</t>
        </is>
      </c>
      <c r="D91" s="42" t="inlineStr">
        <is>
          <t>中2</t>
        </is>
      </c>
      <c r="E91" s="42" t="inlineStr">
        <is>
          <t>個別指導</t>
        </is>
      </c>
      <c r="F91" s="28">
        <f>IFERROR(INDEX(TankaData[1コマ単価],MATCH(E91,TankaData[コース],0)),0)</f>
        <v/>
      </c>
      <c r="G91" s="43" t="n">
        <v>4</v>
      </c>
      <c r="H91" s="29">
        <f>G91*4</f>
        <v/>
      </c>
      <c r="I91" s="28">
        <f>IFERROR(INDEX(TankaData[教材費(標準)],MATCH(E91,TankaData[コース],0)),0)</f>
        <v/>
      </c>
      <c r="J91" s="28">
        <f>F91*H91</f>
        <v/>
      </c>
      <c r="K91" s="28">
        <f>J91+I91+ROUND((J91+I91)*0.1,0)</f>
        <v/>
      </c>
      <c r="L91" t="inlineStr">
        <is>
          <t>seito088@example.com</t>
        </is>
      </c>
      <c r="M91" s="44" t="inlineStr">
        <is>
          <t>📧 Gmailを開く</t>
        </is>
      </c>
      <c r="N91" s="45">
        <f>"教室："&amp;C91&amp;"／コース："&amp;E91&amp;"／コマ数："&amp;H91&amp;"コマ／授業料："&amp;TEXT(J91,"#,##0")&amp;"円／教材費："&amp;TEXT(I91,"#,##0")&amp;"円／消費税："&amp;TEXT(ROUND((J91+I91)*0.1,0),"#,##0")&amp;"円／請求額："&amp;TEXT(K91,"#,##0")&amp;"円"</f>
        <v/>
      </c>
      <c r="O91">
        <f>A91&amp;"："&amp;B91</f>
        <v/>
      </c>
    </row>
    <row r="92">
      <c r="A92" s="42">
        <f>ROW()-3</f>
        <v/>
      </c>
      <c r="B92" t="inlineStr">
        <is>
          <t>伊藤翼</t>
        </is>
      </c>
      <c r="C92" s="42" t="inlineStr">
        <is>
          <t>東校</t>
        </is>
      </c>
      <c r="D92" s="42" t="inlineStr">
        <is>
          <t>中1</t>
        </is>
      </c>
      <c r="E92" s="42" t="inlineStr">
        <is>
          <t>集団授業</t>
        </is>
      </c>
      <c r="F92" s="28">
        <f>IFERROR(INDEX(TankaData[1コマ単価],MATCH(E92,TankaData[コース],0)),0)</f>
        <v/>
      </c>
      <c r="G92" s="43" t="n">
        <v>5</v>
      </c>
      <c r="H92" s="29">
        <f>G92*4</f>
        <v/>
      </c>
      <c r="I92" s="28">
        <f>IFERROR(INDEX(TankaData[教材費(標準)],MATCH(E92,TankaData[コース],0)),0)</f>
        <v/>
      </c>
      <c r="J92" s="28">
        <f>F92*H92</f>
        <v/>
      </c>
      <c r="K92" s="28">
        <f>J92+I92+ROUND((J92+I92)*0.1,0)</f>
        <v/>
      </c>
      <c r="L92" t="inlineStr">
        <is>
          <t>seito089@example.com</t>
        </is>
      </c>
      <c r="M92" s="44" t="inlineStr">
        <is>
          <t>📧 Gmailを開く</t>
        </is>
      </c>
      <c r="N92" s="45">
        <f>"教室："&amp;C92&amp;"／コース："&amp;E92&amp;"／コマ数："&amp;H92&amp;"コマ／授業料："&amp;TEXT(J92,"#,##0")&amp;"円／教材費："&amp;TEXT(I92,"#,##0")&amp;"円／消費税："&amp;TEXT(ROUND((J92+I92)*0.1,0),"#,##0")&amp;"円／請求額："&amp;TEXT(K92,"#,##0")&amp;"円"</f>
        <v/>
      </c>
      <c r="O92">
        <f>A92&amp;"："&amp;B92</f>
        <v/>
      </c>
    </row>
    <row r="93">
      <c r="A93" s="42">
        <f>ROW()-3</f>
        <v/>
      </c>
      <c r="B93" t="inlineStr">
        <is>
          <t>後藤颯太</t>
        </is>
      </c>
      <c r="C93" s="42" t="inlineStr">
        <is>
          <t>東校</t>
        </is>
      </c>
      <c r="D93" s="42" t="inlineStr">
        <is>
          <t>中3</t>
        </is>
      </c>
      <c r="E93" s="42" t="inlineStr">
        <is>
          <t>映像授業</t>
        </is>
      </c>
      <c r="F93" s="28">
        <f>IFERROR(INDEX(TankaData[1コマ単価],MATCH(E93,TankaData[コース],0)),0)</f>
        <v/>
      </c>
      <c r="G93" s="43" t="n">
        <v>5</v>
      </c>
      <c r="H93" s="29">
        <f>G93*4</f>
        <v/>
      </c>
      <c r="I93" s="28">
        <f>IFERROR(INDEX(TankaData[教材費(標準)],MATCH(E93,TankaData[コース],0)),0)</f>
        <v/>
      </c>
      <c r="J93" s="28">
        <f>F93*H93</f>
        <v/>
      </c>
      <c r="K93" s="28">
        <f>J93+I93+ROUND((J93+I93)*0.1,0)</f>
        <v/>
      </c>
      <c r="L93" t="inlineStr">
        <is>
          <t>seito090@example.com</t>
        </is>
      </c>
      <c r="M93" s="44" t="inlineStr">
        <is>
          <t>📧 Gmailを開く</t>
        </is>
      </c>
      <c r="N93" s="45">
        <f>"教室："&amp;C93&amp;"／コース："&amp;E93&amp;"／コマ数："&amp;H93&amp;"コマ／授業料："&amp;TEXT(J93,"#,##0")&amp;"円／教材費："&amp;TEXT(I93,"#,##0")&amp;"円／消費税："&amp;TEXT(ROUND((J93+I93)*0.1,0),"#,##0")&amp;"円／請求額："&amp;TEXT(K93,"#,##0")&amp;"円"</f>
        <v/>
      </c>
      <c r="O93">
        <f>A93&amp;"："&amp;B93</f>
        <v/>
      </c>
    </row>
    <row r="94">
      <c r="A94" s="42">
        <f>ROW()-3</f>
        <v/>
      </c>
      <c r="B94" t="inlineStr">
        <is>
          <t>井上大和</t>
        </is>
      </c>
      <c r="C94" s="42" t="inlineStr">
        <is>
          <t>東校</t>
        </is>
      </c>
      <c r="D94" s="42" t="inlineStr">
        <is>
          <t>高3</t>
        </is>
      </c>
      <c r="E94" s="42" t="inlineStr">
        <is>
          <t>集団授業</t>
        </is>
      </c>
      <c r="F94" s="28">
        <f>IFERROR(INDEX(TankaData[1コマ単価],MATCH(E94,TankaData[コース],0)),0)</f>
        <v/>
      </c>
      <c r="G94" s="43" t="n">
        <v>4</v>
      </c>
      <c r="H94" s="29">
        <f>G94*4</f>
        <v/>
      </c>
      <c r="I94" s="28">
        <f>IFERROR(INDEX(TankaData[教材費(標準)],MATCH(E94,TankaData[コース],0)),0)</f>
        <v/>
      </c>
      <c r="J94" s="28">
        <f>F94*H94</f>
        <v/>
      </c>
      <c r="K94" s="28">
        <f>J94+I94+ROUND((J94+I94)*0.1,0)</f>
        <v/>
      </c>
      <c r="L94" t="inlineStr">
        <is>
          <t>seito091@example.com</t>
        </is>
      </c>
      <c r="M94" s="44" t="inlineStr">
        <is>
          <t>📧 Gmailを開く</t>
        </is>
      </c>
      <c r="N94" s="45">
        <f>"教室："&amp;C94&amp;"／コース："&amp;E94&amp;"／コマ数："&amp;H94&amp;"コマ／授業料："&amp;TEXT(J94,"#,##0")&amp;"円／教材費："&amp;TEXT(I94,"#,##0")&amp;"円／消費税："&amp;TEXT(ROUND((J94+I94)*0.1,0),"#,##0")&amp;"円／請求額："&amp;TEXT(K94,"#,##0")&amp;"円"</f>
        <v/>
      </c>
      <c r="O94">
        <f>A94&amp;"："&amp;B94</f>
        <v/>
      </c>
    </row>
    <row r="95">
      <c r="A95" s="42">
        <f>ROW()-3</f>
        <v/>
      </c>
      <c r="B95" t="inlineStr">
        <is>
          <t>井上詩織</t>
        </is>
      </c>
      <c r="C95" s="42" t="inlineStr">
        <is>
          <t>東校</t>
        </is>
      </c>
      <c r="D95" s="42" t="inlineStr">
        <is>
          <t>高3</t>
        </is>
      </c>
      <c r="E95" s="42" t="inlineStr">
        <is>
          <t>集団授業</t>
        </is>
      </c>
      <c r="F95" s="28">
        <f>IFERROR(INDEX(TankaData[1コマ単価],MATCH(E95,TankaData[コース],0)),0)</f>
        <v/>
      </c>
      <c r="G95" s="43" t="n">
        <v>3</v>
      </c>
      <c r="H95" s="29">
        <f>G95*4</f>
        <v/>
      </c>
      <c r="I95" s="28">
        <f>IFERROR(INDEX(TankaData[教材費(標準)],MATCH(E95,TankaData[コース],0)),0)</f>
        <v/>
      </c>
      <c r="J95" s="28">
        <f>F95*H95</f>
        <v/>
      </c>
      <c r="K95" s="28">
        <f>J95+I95+ROUND((J95+I95)*0.1,0)</f>
        <v/>
      </c>
      <c r="L95" t="inlineStr">
        <is>
          <t>seito092@example.com</t>
        </is>
      </c>
      <c r="M95" s="44" t="inlineStr">
        <is>
          <t>📧 Gmailを開く</t>
        </is>
      </c>
      <c r="N95" s="45">
        <f>"教室："&amp;C95&amp;"／コース："&amp;E95&amp;"／コマ数："&amp;H95&amp;"コマ／授業料："&amp;TEXT(J95,"#,##0")&amp;"円／教材費："&amp;TEXT(I95,"#,##0")&amp;"円／消費税："&amp;TEXT(ROUND((J95+I95)*0.1,0),"#,##0")&amp;"円／請求額："&amp;TEXT(K95,"#,##0")&amp;"円"</f>
        <v/>
      </c>
      <c r="O95">
        <f>A95&amp;"："&amp;B95</f>
        <v/>
      </c>
    </row>
    <row r="96">
      <c r="A96" s="42">
        <f>ROW()-3</f>
        <v/>
      </c>
      <c r="B96" t="inlineStr">
        <is>
          <t>中島琴音</t>
        </is>
      </c>
      <c r="C96" s="42" t="inlineStr">
        <is>
          <t>東校</t>
        </is>
      </c>
      <c r="D96" s="42" t="inlineStr">
        <is>
          <t>高2</t>
        </is>
      </c>
      <c r="E96" s="42" t="inlineStr">
        <is>
          <t>集団授業</t>
        </is>
      </c>
      <c r="F96" s="28">
        <f>IFERROR(INDEX(TankaData[1コマ単価],MATCH(E96,TankaData[コース],0)),0)</f>
        <v/>
      </c>
      <c r="G96" s="43" t="n">
        <v>3</v>
      </c>
      <c r="H96" s="29">
        <f>G96*4</f>
        <v/>
      </c>
      <c r="I96" s="28">
        <f>IFERROR(INDEX(TankaData[教材費(標準)],MATCH(E96,TankaData[コース],0)),0)</f>
        <v/>
      </c>
      <c r="J96" s="28">
        <f>F96*H96</f>
        <v/>
      </c>
      <c r="K96" s="28">
        <f>J96+I96+ROUND((J96+I96)*0.1,0)</f>
        <v/>
      </c>
      <c r="L96" t="inlineStr">
        <is>
          <t>seito093@example.com</t>
        </is>
      </c>
      <c r="M96" s="44" t="inlineStr">
        <is>
          <t>📧 Gmailを開く</t>
        </is>
      </c>
      <c r="N96" s="45">
        <f>"教室："&amp;C96&amp;"／コース："&amp;E96&amp;"／コマ数："&amp;H96&amp;"コマ／授業料："&amp;TEXT(J96,"#,##0")&amp;"円／教材費："&amp;TEXT(I96,"#,##0")&amp;"円／消費税："&amp;TEXT(ROUND((J96+I96)*0.1,0),"#,##0")&amp;"円／請求額："&amp;TEXT(K96,"#,##0")&amp;"円"</f>
        <v/>
      </c>
      <c r="O96">
        <f>A96&amp;"："&amp;B96</f>
        <v/>
      </c>
    </row>
    <row r="97">
      <c r="A97" s="42">
        <f>ROW()-3</f>
        <v/>
      </c>
      <c r="B97" t="inlineStr">
        <is>
          <t>山本拓也</t>
        </is>
      </c>
      <c r="C97" s="42" t="inlineStr">
        <is>
          <t>東校</t>
        </is>
      </c>
      <c r="D97" s="42" t="inlineStr">
        <is>
          <t>中2</t>
        </is>
      </c>
      <c r="E97" s="42" t="inlineStr">
        <is>
          <t>個別指導</t>
        </is>
      </c>
      <c r="F97" s="28">
        <f>IFERROR(INDEX(TankaData[1コマ単価],MATCH(E97,TankaData[コース],0)),0)</f>
        <v/>
      </c>
      <c r="G97" s="43" t="n">
        <v>1</v>
      </c>
      <c r="H97" s="29">
        <f>G97*4</f>
        <v/>
      </c>
      <c r="I97" s="28">
        <f>IFERROR(INDEX(TankaData[教材費(標準)],MATCH(E97,TankaData[コース],0)),0)</f>
        <v/>
      </c>
      <c r="J97" s="28">
        <f>F97*H97</f>
        <v/>
      </c>
      <c r="K97" s="28">
        <f>J97+I97+ROUND((J97+I97)*0.1,0)</f>
        <v/>
      </c>
      <c r="L97" t="inlineStr">
        <is>
          <t>seito094@example.com</t>
        </is>
      </c>
      <c r="M97" s="44" t="inlineStr">
        <is>
          <t>📧 Gmailを開く</t>
        </is>
      </c>
      <c r="N97" s="45">
        <f>"教室："&amp;C97&amp;"／コース："&amp;E97&amp;"／コマ数："&amp;H97&amp;"コマ／授業料："&amp;TEXT(J97,"#,##0")&amp;"円／教材費："&amp;TEXT(I97,"#,##0")&amp;"円／消費税："&amp;TEXT(ROUND((J97+I97)*0.1,0),"#,##0")&amp;"円／請求額："&amp;TEXT(K97,"#,##0")&amp;"円"</f>
        <v/>
      </c>
      <c r="O97">
        <f>A97&amp;"："&amp;B97</f>
        <v/>
      </c>
    </row>
    <row r="98">
      <c r="A98" s="42">
        <f>ROW()-3</f>
        <v/>
      </c>
      <c r="B98" t="inlineStr">
        <is>
          <t>池田颯</t>
        </is>
      </c>
      <c r="C98" s="42" t="inlineStr">
        <is>
          <t>東校</t>
        </is>
      </c>
      <c r="D98" s="42" t="inlineStr">
        <is>
          <t>中1</t>
        </is>
      </c>
      <c r="E98" s="42" t="inlineStr">
        <is>
          <t>集団授業</t>
        </is>
      </c>
      <c r="F98" s="28">
        <f>IFERROR(INDEX(TankaData[1コマ単価],MATCH(E98,TankaData[コース],0)),0)</f>
        <v/>
      </c>
      <c r="G98" s="43" t="n">
        <v>1</v>
      </c>
      <c r="H98" s="29">
        <f>G98*4</f>
        <v/>
      </c>
      <c r="I98" s="28">
        <f>IFERROR(INDEX(TankaData[教材費(標準)],MATCH(E98,TankaData[コース],0)),0)</f>
        <v/>
      </c>
      <c r="J98" s="28">
        <f>F98*H98</f>
        <v/>
      </c>
      <c r="K98" s="28">
        <f>J98+I98+ROUND((J98+I98)*0.1,0)</f>
        <v/>
      </c>
      <c r="L98" t="inlineStr">
        <is>
          <t>seito095@example.com</t>
        </is>
      </c>
      <c r="M98" s="44" t="inlineStr">
        <is>
          <t>📧 Gmailを開く</t>
        </is>
      </c>
      <c r="N98" s="45">
        <f>"教室："&amp;C98&amp;"／コース："&amp;E98&amp;"／コマ数："&amp;H98&amp;"コマ／授業料："&amp;TEXT(J98,"#,##0")&amp;"円／教材費："&amp;TEXT(I98,"#,##0")&amp;"円／消費税："&amp;TEXT(ROUND((J98+I98)*0.1,0),"#,##0")&amp;"円／請求額："&amp;TEXT(K98,"#,##0")&amp;"円"</f>
        <v/>
      </c>
      <c r="O98">
        <f>A98&amp;"："&amp;B98</f>
        <v/>
      </c>
    </row>
    <row r="99">
      <c r="A99" s="42">
        <f>ROW()-3</f>
        <v/>
      </c>
      <c r="B99" t="inlineStr">
        <is>
          <t>斎藤彩花</t>
        </is>
      </c>
      <c r="C99" s="42" t="inlineStr">
        <is>
          <t>東校</t>
        </is>
      </c>
      <c r="D99" s="42" t="inlineStr">
        <is>
          <t>高3</t>
        </is>
      </c>
      <c r="E99" s="42" t="inlineStr">
        <is>
          <t>個別指導</t>
        </is>
      </c>
      <c r="F99" s="28">
        <f>IFERROR(INDEX(TankaData[1コマ単価],MATCH(E99,TankaData[コース],0)),0)</f>
        <v/>
      </c>
      <c r="G99" s="43" t="n">
        <v>2</v>
      </c>
      <c r="H99" s="29">
        <f>G99*4</f>
        <v/>
      </c>
      <c r="I99" s="28">
        <f>IFERROR(INDEX(TankaData[教材費(標準)],MATCH(E99,TankaData[コース],0)),0)</f>
        <v/>
      </c>
      <c r="J99" s="28">
        <f>F99*H99</f>
        <v/>
      </c>
      <c r="K99" s="28">
        <f>J99+I99+ROUND((J99+I99)*0.1,0)</f>
        <v/>
      </c>
      <c r="L99" t="inlineStr">
        <is>
          <t>seito096@example.com</t>
        </is>
      </c>
      <c r="M99" s="44" t="inlineStr">
        <is>
          <t>📧 Gmailを開く</t>
        </is>
      </c>
      <c r="N99" s="45">
        <f>"教室："&amp;C99&amp;"／コース："&amp;E99&amp;"／コマ数："&amp;H99&amp;"コマ／授業料："&amp;TEXT(J99,"#,##0")&amp;"円／教材費："&amp;TEXT(I99,"#,##0")&amp;"円／消費税："&amp;TEXT(ROUND((J99+I99)*0.1,0),"#,##0")&amp;"円／請求額："&amp;TEXT(K99,"#,##0")&amp;"円"</f>
        <v/>
      </c>
      <c r="O99">
        <f>A99&amp;"："&amp;B99</f>
        <v/>
      </c>
    </row>
    <row r="100">
      <c r="A100" s="42">
        <f>ROW()-3</f>
        <v/>
      </c>
      <c r="B100" t="inlineStr">
        <is>
          <t>山本愛</t>
        </is>
      </c>
      <c r="C100" s="42" t="inlineStr">
        <is>
          <t>東校</t>
        </is>
      </c>
      <c r="D100" s="42" t="inlineStr">
        <is>
          <t>中1</t>
        </is>
      </c>
      <c r="E100" s="42" t="inlineStr">
        <is>
          <t>映像授業</t>
        </is>
      </c>
      <c r="F100" s="28">
        <f>IFERROR(INDEX(TankaData[1コマ単価],MATCH(E100,TankaData[コース],0)),0)</f>
        <v/>
      </c>
      <c r="G100" s="43" t="n">
        <v>3</v>
      </c>
      <c r="H100" s="29">
        <f>G100*4</f>
        <v/>
      </c>
      <c r="I100" s="28">
        <f>IFERROR(INDEX(TankaData[教材費(標準)],MATCH(E100,TankaData[コース],0)),0)</f>
        <v/>
      </c>
      <c r="J100" s="28">
        <f>F100*H100</f>
        <v/>
      </c>
      <c r="K100" s="28">
        <f>J100+I100+ROUND((J100+I100)*0.1,0)</f>
        <v/>
      </c>
      <c r="L100" t="inlineStr">
        <is>
          <t>seito097@example.com</t>
        </is>
      </c>
      <c r="M100" s="44" t="inlineStr">
        <is>
          <t>📧 Gmailを開く</t>
        </is>
      </c>
      <c r="N100" s="45">
        <f>"教室："&amp;C100&amp;"／コース："&amp;E100&amp;"／コマ数："&amp;H100&amp;"コマ／授業料："&amp;TEXT(J100,"#,##0")&amp;"円／教材費："&amp;TEXT(I100,"#,##0")&amp;"円／消費税："&amp;TEXT(ROUND((J100+I100)*0.1,0),"#,##0")&amp;"円／請求額："&amp;TEXT(K100,"#,##0")&amp;"円"</f>
        <v/>
      </c>
      <c r="O100">
        <f>A100&amp;"："&amp;B100</f>
        <v/>
      </c>
    </row>
    <row r="101">
      <c r="A101" s="42">
        <f>ROW()-3</f>
        <v/>
      </c>
      <c r="B101" t="inlineStr">
        <is>
          <t>小野美咲</t>
        </is>
      </c>
      <c r="C101" s="42" t="inlineStr">
        <is>
          <t>東校</t>
        </is>
      </c>
      <c r="D101" s="42" t="inlineStr">
        <is>
          <t>高3</t>
        </is>
      </c>
      <c r="E101" s="42" t="inlineStr">
        <is>
          <t>集団授業</t>
        </is>
      </c>
      <c r="F101" s="28">
        <f>IFERROR(INDEX(TankaData[1コマ単価],MATCH(E101,TankaData[コース],0)),0)</f>
        <v/>
      </c>
      <c r="G101" s="43" t="n">
        <v>1</v>
      </c>
      <c r="H101" s="29">
        <f>G101*4</f>
        <v/>
      </c>
      <c r="I101" s="28">
        <f>IFERROR(INDEX(TankaData[教材費(標準)],MATCH(E101,TankaData[コース],0)),0)</f>
        <v/>
      </c>
      <c r="J101" s="28">
        <f>F101*H101</f>
        <v/>
      </c>
      <c r="K101" s="28">
        <f>J101+I101+ROUND((J101+I101)*0.1,0)</f>
        <v/>
      </c>
      <c r="L101" t="inlineStr">
        <is>
          <t>seito098@example.com</t>
        </is>
      </c>
      <c r="M101" s="44" t="inlineStr">
        <is>
          <t>📧 Gmailを開く</t>
        </is>
      </c>
      <c r="N101" s="45">
        <f>"教室："&amp;C101&amp;"／コース："&amp;E101&amp;"／コマ数："&amp;H101&amp;"コマ／授業料："&amp;TEXT(J101,"#,##0")&amp;"円／教材費："&amp;TEXT(I101,"#,##0")&amp;"円／消費税："&amp;TEXT(ROUND((J101+I101)*0.1,0),"#,##0")&amp;"円／請求額："&amp;TEXT(K101,"#,##0")&amp;"円"</f>
        <v/>
      </c>
      <c r="O101">
        <f>A101&amp;"："&amp;B101</f>
        <v/>
      </c>
    </row>
    <row r="102">
      <c r="A102" s="42">
        <f>ROW()-3</f>
        <v/>
      </c>
      <c r="B102" t="inlineStr">
        <is>
          <t>石川美咲</t>
        </is>
      </c>
      <c r="C102" s="42" t="inlineStr">
        <is>
          <t>東校</t>
        </is>
      </c>
      <c r="D102" s="42" t="inlineStr">
        <is>
          <t>中1</t>
        </is>
      </c>
      <c r="E102" s="42" t="inlineStr">
        <is>
          <t>集団授業</t>
        </is>
      </c>
      <c r="F102" s="28">
        <f>IFERROR(INDEX(TankaData[1コマ単価],MATCH(E102,TankaData[コース],0)),0)</f>
        <v/>
      </c>
      <c r="G102" s="43" t="n">
        <v>2</v>
      </c>
      <c r="H102" s="29">
        <f>G102*4</f>
        <v/>
      </c>
      <c r="I102" s="28">
        <f>IFERROR(INDEX(TankaData[教材費(標準)],MATCH(E102,TankaData[コース],0)),0)</f>
        <v/>
      </c>
      <c r="J102" s="28">
        <f>F102*H102</f>
        <v/>
      </c>
      <c r="K102" s="28">
        <f>J102+I102+ROUND((J102+I102)*0.1,0)</f>
        <v/>
      </c>
      <c r="L102" t="inlineStr">
        <is>
          <t>seito099@example.com</t>
        </is>
      </c>
      <c r="M102" s="44" t="inlineStr">
        <is>
          <t>📧 Gmailを開く</t>
        </is>
      </c>
      <c r="N102" s="45">
        <f>"教室："&amp;C102&amp;"／コース："&amp;E102&amp;"／コマ数："&amp;H102&amp;"コマ／授業料："&amp;TEXT(J102,"#,##0")&amp;"円／教材費："&amp;TEXT(I102,"#,##0")&amp;"円／消費税："&amp;TEXT(ROUND((J102+I102)*0.1,0),"#,##0")&amp;"円／請求額："&amp;TEXT(K102,"#,##0")&amp;"円"</f>
        <v/>
      </c>
      <c r="O102">
        <f>A102&amp;"："&amp;B102</f>
        <v/>
      </c>
    </row>
    <row r="103">
      <c r="A103" s="42">
        <f>ROW()-3</f>
        <v/>
      </c>
      <c r="B103" t="inlineStr">
        <is>
          <t>阿部拓也</t>
        </is>
      </c>
      <c r="C103" s="42" t="inlineStr">
        <is>
          <t>東校</t>
        </is>
      </c>
      <c r="D103" s="42" t="inlineStr">
        <is>
          <t>中3</t>
        </is>
      </c>
      <c r="E103" s="42" t="inlineStr">
        <is>
          <t>個別指導</t>
        </is>
      </c>
      <c r="F103" s="28">
        <f>IFERROR(INDEX(TankaData[1コマ単価],MATCH(E103,TankaData[コース],0)),0)</f>
        <v/>
      </c>
      <c r="G103" s="43" t="n">
        <v>3</v>
      </c>
      <c r="H103" s="29">
        <f>G103*4</f>
        <v/>
      </c>
      <c r="I103" s="28">
        <f>IFERROR(INDEX(TankaData[教材費(標準)],MATCH(E103,TankaData[コース],0)),0)</f>
        <v/>
      </c>
      <c r="J103" s="28">
        <f>F103*H103</f>
        <v/>
      </c>
      <c r="K103" s="28">
        <f>J103+I103+ROUND((J103+I103)*0.1,0)</f>
        <v/>
      </c>
      <c r="L103" t="inlineStr">
        <is>
          <t>seito100@example.com</t>
        </is>
      </c>
      <c r="M103" s="44" t="inlineStr">
        <is>
          <t>📧 Gmailを開く</t>
        </is>
      </c>
      <c r="N103" s="45">
        <f>"教室："&amp;C103&amp;"／コース："&amp;E103&amp;"／コマ数："&amp;H103&amp;"コマ／授業料："&amp;TEXT(J103,"#,##0")&amp;"円／教材費："&amp;TEXT(I103,"#,##0")&amp;"円／消費税："&amp;TEXT(ROUND((J103+I103)*0.1,0),"#,##0")&amp;"円／請求額："&amp;TEXT(K103,"#,##0")&amp;"円"</f>
        <v/>
      </c>
      <c r="O103">
        <f>A103&amp;"："&amp;B103</f>
        <v/>
      </c>
    </row>
    <row r="104">
      <c r="A104" s="42">
        <f>ROW()-3</f>
        <v/>
      </c>
      <c r="B104" t="inlineStr">
        <is>
          <t>西村彩花</t>
        </is>
      </c>
      <c r="C104" s="42" t="inlineStr">
        <is>
          <t>東校</t>
        </is>
      </c>
      <c r="D104" s="42" t="inlineStr">
        <is>
          <t>小4</t>
        </is>
      </c>
      <c r="E104" s="42" t="inlineStr">
        <is>
          <t>個別指導</t>
        </is>
      </c>
      <c r="F104" s="28">
        <f>IFERROR(INDEX(TankaData[1コマ単価],MATCH(E104,TankaData[コース],0)),0)</f>
        <v/>
      </c>
      <c r="G104" s="43" t="n">
        <v>3</v>
      </c>
      <c r="H104" s="29">
        <f>G104*4</f>
        <v/>
      </c>
      <c r="I104" s="28">
        <f>IFERROR(INDEX(TankaData[教材費(標準)],MATCH(E104,TankaData[コース],0)),0)</f>
        <v/>
      </c>
      <c r="J104" s="28">
        <f>F104*H104</f>
        <v/>
      </c>
      <c r="K104" s="28">
        <f>J104+I104+ROUND((J104+I104)*0.1,0)</f>
        <v/>
      </c>
      <c r="L104" t="inlineStr">
        <is>
          <t>seito101@example.com</t>
        </is>
      </c>
      <c r="M104" s="44" t="inlineStr">
        <is>
          <t>📧 Gmailを開く</t>
        </is>
      </c>
      <c r="N104" s="45">
        <f>"教室："&amp;C104&amp;"／コース："&amp;E104&amp;"／コマ数："&amp;H104&amp;"コマ／授業料："&amp;TEXT(J104,"#,##0")&amp;"円／教材費："&amp;TEXT(I104,"#,##0")&amp;"円／消費税："&amp;TEXT(ROUND((J104+I104)*0.1,0),"#,##0")&amp;"円／請求額："&amp;TEXT(K104,"#,##0")&amp;"円"</f>
        <v/>
      </c>
      <c r="O104">
        <f>A104&amp;"："&amp;B104</f>
        <v/>
      </c>
    </row>
    <row r="105">
      <c r="A105" s="42">
        <f>ROW()-3</f>
        <v/>
      </c>
      <c r="B105" t="inlineStr">
        <is>
          <t>森健太</t>
        </is>
      </c>
      <c r="C105" s="42" t="inlineStr">
        <is>
          <t>東校</t>
        </is>
      </c>
      <c r="D105" s="42" t="inlineStr">
        <is>
          <t>小4</t>
        </is>
      </c>
      <c r="E105" s="42" t="inlineStr">
        <is>
          <t>個別指導S</t>
        </is>
      </c>
      <c r="F105" s="28">
        <f>IFERROR(INDEX(TankaData[1コマ単価],MATCH(E105,TankaData[コース],0)),0)</f>
        <v/>
      </c>
      <c r="G105" s="43" t="n">
        <v>5</v>
      </c>
      <c r="H105" s="29">
        <f>G105*4</f>
        <v/>
      </c>
      <c r="I105" s="28">
        <f>IFERROR(INDEX(TankaData[教材費(標準)],MATCH(E105,TankaData[コース],0)),0)</f>
        <v/>
      </c>
      <c r="J105" s="28">
        <f>F105*H105</f>
        <v/>
      </c>
      <c r="K105" s="28">
        <f>J105+I105+ROUND((J105+I105)*0.1,0)</f>
        <v/>
      </c>
      <c r="L105" t="inlineStr">
        <is>
          <t>seito102@example.com</t>
        </is>
      </c>
      <c r="M105" s="44" t="inlineStr">
        <is>
          <t>📧 Gmailを開く</t>
        </is>
      </c>
      <c r="N105" s="45">
        <f>"教室："&amp;C105&amp;"／コース："&amp;E105&amp;"／コマ数："&amp;H105&amp;"コマ／授業料："&amp;TEXT(J105,"#,##0")&amp;"円／教材費："&amp;TEXT(I105,"#,##0")&amp;"円／消費税："&amp;TEXT(ROUND((J105+I105)*0.1,0),"#,##0")&amp;"円／請求額："&amp;TEXT(K105,"#,##0")&amp;"円"</f>
        <v/>
      </c>
      <c r="O105">
        <f>A105&amp;"："&amp;B105</f>
        <v/>
      </c>
    </row>
    <row r="106">
      <c r="A106" s="42">
        <f>ROW()-3</f>
        <v/>
      </c>
      <c r="B106" t="inlineStr">
        <is>
          <t>伊藤悠真</t>
        </is>
      </c>
      <c r="C106" s="42" t="inlineStr">
        <is>
          <t>東校</t>
        </is>
      </c>
      <c r="D106" s="42" t="inlineStr">
        <is>
          <t>中2</t>
        </is>
      </c>
      <c r="E106" s="42" t="inlineStr">
        <is>
          <t>個別指導</t>
        </is>
      </c>
      <c r="F106" s="28">
        <f>IFERROR(INDEX(TankaData[1コマ単価],MATCH(E106,TankaData[コース],0)),0)</f>
        <v/>
      </c>
      <c r="G106" s="43" t="n">
        <v>4</v>
      </c>
      <c r="H106" s="29">
        <f>G106*4</f>
        <v/>
      </c>
      <c r="I106" s="28">
        <f>IFERROR(INDEX(TankaData[教材費(標準)],MATCH(E106,TankaData[コース],0)),0)</f>
        <v/>
      </c>
      <c r="J106" s="28">
        <f>F106*H106</f>
        <v/>
      </c>
      <c r="K106" s="28">
        <f>J106+I106+ROUND((J106+I106)*0.1,0)</f>
        <v/>
      </c>
      <c r="L106" t="inlineStr">
        <is>
          <t>seito103@example.com</t>
        </is>
      </c>
      <c r="M106" s="44" t="inlineStr">
        <is>
          <t>📧 Gmailを開く</t>
        </is>
      </c>
      <c r="N106" s="45">
        <f>"教室："&amp;C106&amp;"／コース："&amp;E106&amp;"／コマ数："&amp;H106&amp;"コマ／授業料："&amp;TEXT(J106,"#,##0")&amp;"円／教材費："&amp;TEXT(I106,"#,##0")&amp;"円／消費税："&amp;TEXT(ROUND((J106+I106)*0.1,0),"#,##0")&amp;"円／請求額："&amp;TEXT(K106,"#,##0")&amp;"円"</f>
        <v/>
      </c>
      <c r="O106">
        <f>A106&amp;"："&amp;B106</f>
        <v/>
      </c>
    </row>
    <row r="107">
      <c r="A107" s="42">
        <f>ROW()-3</f>
        <v/>
      </c>
      <c r="B107" t="inlineStr">
        <is>
          <t>松本大輝</t>
        </is>
      </c>
      <c r="C107" s="42" t="inlineStr">
        <is>
          <t>東校</t>
        </is>
      </c>
      <c r="D107" s="42" t="inlineStr">
        <is>
          <t>小5</t>
        </is>
      </c>
      <c r="E107" s="42" t="inlineStr">
        <is>
          <t>個別指導S</t>
        </is>
      </c>
      <c r="F107" s="28">
        <f>IFERROR(INDEX(TankaData[1コマ単価],MATCH(E107,TankaData[コース],0)),0)</f>
        <v/>
      </c>
      <c r="G107" s="43" t="n">
        <v>5</v>
      </c>
      <c r="H107" s="29">
        <f>G107*4</f>
        <v/>
      </c>
      <c r="I107" s="28">
        <f>IFERROR(INDEX(TankaData[教材費(標準)],MATCH(E107,TankaData[コース],0)),0)</f>
        <v/>
      </c>
      <c r="J107" s="28">
        <f>F107*H107</f>
        <v/>
      </c>
      <c r="K107" s="28">
        <f>J107+I107+ROUND((J107+I107)*0.1,0)</f>
        <v/>
      </c>
      <c r="L107" t="inlineStr">
        <is>
          <t>seito104@example.com</t>
        </is>
      </c>
      <c r="M107" s="44" t="inlineStr">
        <is>
          <t>📧 Gmailを開く</t>
        </is>
      </c>
      <c r="N107" s="45">
        <f>"教室："&amp;C107&amp;"／コース："&amp;E107&amp;"／コマ数："&amp;H107&amp;"コマ／授業料："&amp;TEXT(J107,"#,##0")&amp;"円／教材費："&amp;TEXT(I107,"#,##0")&amp;"円／消費税："&amp;TEXT(ROUND((J107+I107)*0.1,0),"#,##0")&amp;"円／請求額："&amp;TEXT(K107,"#,##0")&amp;"円"</f>
        <v/>
      </c>
      <c r="O107">
        <f>A107&amp;"："&amp;B107</f>
        <v/>
      </c>
    </row>
    <row r="108">
      <c r="A108" s="42">
        <f>ROW()-3</f>
        <v/>
      </c>
      <c r="B108" t="inlineStr">
        <is>
          <t>太田拓也</t>
        </is>
      </c>
      <c r="C108" s="42" t="inlineStr">
        <is>
          <t>東校</t>
        </is>
      </c>
      <c r="D108" s="42" t="inlineStr">
        <is>
          <t>中2</t>
        </is>
      </c>
      <c r="E108" s="42" t="inlineStr">
        <is>
          <t>映像授業</t>
        </is>
      </c>
      <c r="F108" s="28">
        <f>IFERROR(INDEX(TankaData[1コマ単価],MATCH(E108,TankaData[コース],0)),0)</f>
        <v/>
      </c>
      <c r="G108" s="43" t="n">
        <v>4</v>
      </c>
      <c r="H108" s="29">
        <f>G108*4</f>
        <v/>
      </c>
      <c r="I108" s="28">
        <f>IFERROR(INDEX(TankaData[教材費(標準)],MATCH(E108,TankaData[コース],0)),0)</f>
        <v/>
      </c>
      <c r="J108" s="28">
        <f>F108*H108</f>
        <v/>
      </c>
      <c r="K108" s="28">
        <f>J108+I108+ROUND((J108+I108)*0.1,0)</f>
        <v/>
      </c>
      <c r="L108" t="inlineStr">
        <is>
          <t>seito105@example.com</t>
        </is>
      </c>
      <c r="M108" s="44" t="inlineStr">
        <is>
          <t>📧 Gmailを開く</t>
        </is>
      </c>
      <c r="N108" s="45">
        <f>"教室："&amp;C108&amp;"／コース："&amp;E108&amp;"／コマ数："&amp;H108&amp;"コマ／授業料："&amp;TEXT(J108,"#,##0")&amp;"円／教材費："&amp;TEXT(I108,"#,##0")&amp;"円／消費税："&amp;TEXT(ROUND((J108+I108)*0.1,0),"#,##0")&amp;"円／請求額："&amp;TEXT(K108,"#,##0")&amp;"円"</f>
        <v/>
      </c>
      <c r="O108">
        <f>A108&amp;"："&amp;B108</f>
        <v/>
      </c>
    </row>
    <row r="109">
      <c r="A109" s="42">
        <f>ROW()-3</f>
        <v/>
      </c>
      <c r="B109" t="inlineStr">
        <is>
          <t>中島悠真</t>
        </is>
      </c>
      <c r="C109" s="42" t="inlineStr">
        <is>
          <t>東校</t>
        </is>
      </c>
      <c r="D109" s="42" t="inlineStr">
        <is>
          <t>高2</t>
        </is>
      </c>
      <c r="E109" s="42" t="inlineStr">
        <is>
          <t>集団授業</t>
        </is>
      </c>
      <c r="F109" s="28">
        <f>IFERROR(INDEX(TankaData[1コマ単価],MATCH(E109,TankaData[コース],0)),0)</f>
        <v/>
      </c>
      <c r="G109" s="43" t="n">
        <v>2</v>
      </c>
      <c r="H109" s="29">
        <f>G109*4</f>
        <v/>
      </c>
      <c r="I109" s="28">
        <f>IFERROR(INDEX(TankaData[教材費(標準)],MATCH(E109,TankaData[コース],0)),0)</f>
        <v/>
      </c>
      <c r="J109" s="28">
        <f>F109*H109</f>
        <v/>
      </c>
      <c r="K109" s="28">
        <f>J109+I109+ROUND((J109+I109)*0.1,0)</f>
        <v/>
      </c>
      <c r="L109" t="inlineStr">
        <is>
          <t>seito106@example.com</t>
        </is>
      </c>
      <c r="M109" s="44" t="inlineStr">
        <is>
          <t>📧 Gmailを開く</t>
        </is>
      </c>
      <c r="N109" s="45">
        <f>"教室："&amp;C109&amp;"／コース："&amp;E109&amp;"／コマ数："&amp;H109&amp;"コマ／授業料："&amp;TEXT(J109,"#,##0")&amp;"円／教材費："&amp;TEXT(I109,"#,##0")&amp;"円／消費税："&amp;TEXT(ROUND((J109+I109)*0.1,0),"#,##0")&amp;"円／請求額："&amp;TEXT(K109,"#,##0")&amp;"円"</f>
        <v/>
      </c>
      <c r="O109">
        <f>A109&amp;"："&amp;B109</f>
        <v/>
      </c>
    </row>
    <row r="110">
      <c r="A110" s="42">
        <f>ROW()-3</f>
        <v/>
      </c>
      <c r="B110" t="inlineStr">
        <is>
          <t>中野咲良</t>
        </is>
      </c>
      <c r="C110" s="42" t="inlineStr">
        <is>
          <t>東校</t>
        </is>
      </c>
      <c r="D110" s="42" t="inlineStr">
        <is>
          <t>小4</t>
        </is>
      </c>
      <c r="E110" s="42" t="inlineStr">
        <is>
          <t>集団授業</t>
        </is>
      </c>
      <c r="F110" s="28">
        <f>IFERROR(INDEX(TankaData[1コマ単価],MATCH(E110,TankaData[コース],0)),0)</f>
        <v/>
      </c>
      <c r="G110" s="43" t="n">
        <v>4</v>
      </c>
      <c r="H110" s="29">
        <f>G110*4</f>
        <v/>
      </c>
      <c r="I110" s="28">
        <f>IFERROR(INDEX(TankaData[教材費(標準)],MATCH(E110,TankaData[コース],0)),0)</f>
        <v/>
      </c>
      <c r="J110" s="28">
        <f>F110*H110</f>
        <v/>
      </c>
      <c r="K110" s="28">
        <f>J110+I110+ROUND((J110+I110)*0.1,0)</f>
        <v/>
      </c>
      <c r="L110" t="inlineStr">
        <is>
          <t>seito107@example.com</t>
        </is>
      </c>
      <c r="M110" s="44" t="inlineStr">
        <is>
          <t>📧 Gmailを開く</t>
        </is>
      </c>
      <c r="N110" s="45">
        <f>"教室："&amp;C110&amp;"／コース："&amp;E110&amp;"／コマ数："&amp;H110&amp;"コマ／授業料："&amp;TEXT(J110,"#,##0")&amp;"円／教材費："&amp;TEXT(I110,"#,##0")&amp;"円／消費税："&amp;TEXT(ROUND((J110+I110)*0.1,0),"#,##0")&amp;"円／請求額："&amp;TEXT(K110,"#,##0")&amp;"円"</f>
        <v/>
      </c>
      <c r="O110">
        <f>A110&amp;"："&amp;B110</f>
        <v/>
      </c>
    </row>
    <row r="111">
      <c r="A111" s="42">
        <f>ROW()-3</f>
        <v/>
      </c>
      <c r="B111" t="inlineStr">
        <is>
          <t>吉田優奈</t>
        </is>
      </c>
      <c r="C111" s="42" t="inlineStr">
        <is>
          <t>東校</t>
        </is>
      </c>
      <c r="D111" s="42" t="inlineStr">
        <is>
          <t>小5</t>
        </is>
      </c>
      <c r="E111" s="42" t="inlineStr">
        <is>
          <t>個別指導S</t>
        </is>
      </c>
      <c r="F111" s="28">
        <f>IFERROR(INDEX(TankaData[1コマ単価],MATCH(E111,TankaData[コース],0)),0)</f>
        <v/>
      </c>
      <c r="G111" s="43" t="n">
        <v>4</v>
      </c>
      <c r="H111" s="29">
        <f>G111*4</f>
        <v/>
      </c>
      <c r="I111" s="28">
        <f>IFERROR(INDEX(TankaData[教材費(標準)],MATCH(E111,TankaData[コース],0)),0)</f>
        <v/>
      </c>
      <c r="J111" s="28">
        <f>F111*H111</f>
        <v/>
      </c>
      <c r="K111" s="28">
        <f>J111+I111+ROUND((J111+I111)*0.1,0)</f>
        <v/>
      </c>
      <c r="L111" t="inlineStr">
        <is>
          <t>seito108@example.com</t>
        </is>
      </c>
      <c r="M111" s="44" t="inlineStr">
        <is>
          <t>📧 Gmailを開く</t>
        </is>
      </c>
      <c r="N111" s="45">
        <f>"教室："&amp;C111&amp;"／コース："&amp;E111&amp;"／コマ数："&amp;H111&amp;"コマ／授業料："&amp;TEXT(J111,"#,##0")&amp;"円／教材費："&amp;TEXT(I111,"#,##0")&amp;"円／消費税："&amp;TEXT(ROUND((J111+I111)*0.1,0),"#,##0")&amp;"円／請求額："&amp;TEXT(K111,"#,##0")&amp;"円"</f>
        <v/>
      </c>
      <c r="O111">
        <f>A111&amp;"："&amp;B111</f>
        <v/>
      </c>
    </row>
    <row r="112">
      <c r="A112" s="42">
        <f>ROW()-3</f>
        <v/>
      </c>
      <c r="B112" t="inlineStr">
        <is>
          <t>林大翔</t>
        </is>
      </c>
      <c r="C112" s="42" t="inlineStr">
        <is>
          <t>東校</t>
        </is>
      </c>
      <c r="D112" s="42" t="inlineStr">
        <is>
          <t>高2</t>
        </is>
      </c>
      <c r="E112" s="42" t="inlineStr">
        <is>
          <t>個別指導S</t>
        </is>
      </c>
      <c r="F112" s="28">
        <f>IFERROR(INDEX(TankaData[1コマ単価],MATCH(E112,TankaData[コース],0)),0)</f>
        <v/>
      </c>
      <c r="G112" s="43" t="n">
        <v>5</v>
      </c>
      <c r="H112" s="29">
        <f>G112*4</f>
        <v/>
      </c>
      <c r="I112" s="28">
        <f>IFERROR(INDEX(TankaData[教材費(標準)],MATCH(E112,TankaData[コース],0)),0)</f>
        <v/>
      </c>
      <c r="J112" s="28">
        <f>F112*H112</f>
        <v/>
      </c>
      <c r="K112" s="28">
        <f>J112+I112+ROUND((J112+I112)*0.1,0)</f>
        <v/>
      </c>
      <c r="L112" t="inlineStr">
        <is>
          <t>seito109@example.com</t>
        </is>
      </c>
      <c r="M112" s="44" t="inlineStr">
        <is>
          <t>📧 Gmailを開く</t>
        </is>
      </c>
      <c r="N112" s="45">
        <f>"教室："&amp;C112&amp;"／コース："&amp;E112&amp;"／コマ数："&amp;H112&amp;"コマ／授業料："&amp;TEXT(J112,"#,##0")&amp;"円／教材費："&amp;TEXT(I112,"#,##0")&amp;"円／消費税："&amp;TEXT(ROUND((J112+I112)*0.1,0),"#,##0")&amp;"円／請求額："&amp;TEXT(K112,"#,##0")&amp;"円"</f>
        <v/>
      </c>
      <c r="O112">
        <f>A112&amp;"："&amp;B112</f>
        <v/>
      </c>
    </row>
    <row r="113">
      <c r="A113" s="42">
        <f>ROW()-3</f>
        <v/>
      </c>
      <c r="B113" t="inlineStr">
        <is>
          <t>青木陽菜</t>
        </is>
      </c>
      <c r="C113" s="42" t="inlineStr">
        <is>
          <t>東校</t>
        </is>
      </c>
      <c r="D113" s="42" t="inlineStr">
        <is>
          <t>小4</t>
        </is>
      </c>
      <c r="E113" s="42" t="inlineStr">
        <is>
          <t>個別指導</t>
        </is>
      </c>
      <c r="F113" s="28">
        <f>IFERROR(INDEX(TankaData[1コマ単価],MATCH(E113,TankaData[コース],0)),0)</f>
        <v/>
      </c>
      <c r="G113" s="43" t="n">
        <v>2</v>
      </c>
      <c r="H113" s="29">
        <f>G113*4</f>
        <v/>
      </c>
      <c r="I113" s="28">
        <f>IFERROR(INDEX(TankaData[教材費(標準)],MATCH(E113,TankaData[コース],0)),0)</f>
        <v/>
      </c>
      <c r="J113" s="28">
        <f>F113*H113</f>
        <v/>
      </c>
      <c r="K113" s="28">
        <f>J113+I113+ROUND((J113+I113)*0.1,0)</f>
        <v/>
      </c>
      <c r="L113" t="inlineStr">
        <is>
          <t>seito110@example.com</t>
        </is>
      </c>
      <c r="M113" s="44" t="inlineStr">
        <is>
          <t>📧 Gmailを開く</t>
        </is>
      </c>
      <c r="N113" s="45">
        <f>"教室："&amp;C113&amp;"／コース："&amp;E113&amp;"／コマ数："&amp;H113&amp;"コマ／授業料："&amp;TEXT(J113,"#,##0")&amp;"円／教材費："&amp;TEXT(I113,"#,##0")&amp;"円／消費税："&amp;TEXT(ROUND((J113+I113)*0.1,0),"#,##0")&amp;"円／請求額："&amp;TEXT(K113,"#,##0")&amp;"円"</f>
        <v/>
      </c>
      <c r="O113">
        <f>A113&amp;"："&amp;B113</f>
        <v/>
      </c>
    </row>
    <row r="114">
      <c r="A114" s="42">
        <f>ROW()-3</f>
        <v/>
      </c>
      <c r="B114" t="inlineStr">
        <is>
          <t>清水一輝</t>
        </is>
      </c>
      <c r="C114" s="42" t="inlineStr">
        <is>
          <t>東校</t>
        </is>
      </c>
      <c r="D114" s="42" t="inlineStr">
        <is>
          <t>中2</t>
        </is>
      </c>
      <c r="E114" s="42" t="inlineStr">
        <is>
          <t>個別指導S</t>
        </is>
      </c>
      <c r="F114" s="28">
        <f>IFERROR(INDEX(TankaData[1コマ単価],MATCH(E114,TankaData[コース],0)),0)</f>
        <v/>
      </c>
      <c r="G114" s="43" t="n">
        <v>2</v>
      </c>
      <c r="H114" s="29">
        <f>G114*4</f>
        <v/>
      </c>
      <c r="I114" s="28">
        <f>IFERROR(INDEX(TankaData[教材費(標準)],MATCH(E114,TankaData[コース],0)),0)</f>
        <v/>
      </c>
      <c r="J114" s="28">
        <f>F114*H114</f>
        <v/>
      </c>
      <c r="K114" s="28">
        <f>J114+I114+ROUND((J114+I114)*0.1,0)</f>
        <v/>
      </c>
      <c r="L114" t="inlineStr">
        <is>
          <t>seito111@example.com</t>
        </is>
      </c>
      <c r="M114" s="44" t="inlineStr">
        <is>
          <t>📧 Gmailを開く</t>
        </is>
      </c>
      <c r="N114" s="45">
        <f>"教室："&amp;C114&amp;"／コース："&amp;E114&amp;"／コマ数："&amp;H114&amp;"コマ／授業料："&amp;TEXT(J114,"#,##0")&amp;"円／教材費："&amp;TEXT(I114,"#,##0")&amp;"円／消費税："&amp;TEXT(ROUND((J114+I114)*0.1,0),"#,##0")&amp;"円／請求額："&amp;TEXT(K114,"#,##0")&amp;"円"</f>
        <v/>
      </c>
      <c r="O114">
        <f>A114&amp;"："&amp;B114</f>
        <v/>
      </c>
    </row>
    <row r="115">
      <c r="A115" s="42">
        <f>ROW()-3</f>
        <v/>
      </c>
      <c r="B115" t="inlineStr">
        <is>
          <t>井上朝陽</t>
        </is>
      </c>
      <c r="C115" s="42" t="inlineStr">
        <is>
          <t>東校</t>
        </is>
      </c>
      <c r="D115" s="42" t="inlineStr">
        <is>
          <t>小5</t>
        </is>
      </c>
      <c r="E115" s="42" t="inlineStr">
        <is>
          <t>映像授業</t>
        </is>
      </c>
      <c r="F115" s="28">
        <f>IFERROR(INDEX(TankaData[1コマ単価],MATCH(E115,TankaData[コース],0)),0)</f>
        <v/>
      </c>
      <c r="G115" s="43" t="n">
        <v>5</v>
      </c>
      <c r="H115" s="29">
        <f>G115*4</f>
        <v/>
      </c>
      <c r="I115" s="28">
        <f>IFERROR(INDEX(TankaData[教材費(標準)],MATCH(E115,TankaData[コース],0)),0)</f>
        <v/>
      </c>
      <c r="J115" s="28">
        <f>F115*H115</f>
        <v/>
      </c>
      <c r="K115" s="28">
        <f>J115+I115+ROUND((J115+I115)*0.1,0)</f>
        <v/>
      </c>
      <c r="L115" t="inlineStr">
        <is>
          <t>seito112@example.com</t>
        </is>
      </c>
      <c r="M115" s="44" t="inlineStr">
        <is>
          <t>📧 Gmailを開く</t>
        </is>
      </c>
      <c r="N115" s="45">
        <f>"教室："&amp;C115&amp;"／コース："&amp;E115&amp;"／コマ数："&amp;H115&amp;"コマ／授業料："&amp;TEXT(J115,"#,##0")&amp;"円／教材費："&amp;TEXT(I115,"#,##0")&amp;"円／消費税："&amp;TEXT(ROUND((J115+I115)*0.1,0),"#,##0")&amp;"円／請求額："&amp;TEXT(K115,"#,##0")&amp;"円"</f>
        <v/>
      </c>
      <c r="O115">
        <f>A115&amp;"："&amp;B115</f>
        <v/>
      </c>
    </row>
    <row r="116">
      <c r="A116" s="42">
        <f>ROW()-3</f>
        <v/>
      </c>
      <c r="B116" t="inlineStr">
        <is>
          <t>中野美桜</t>
        </is>
      </c>
      <c r="C116" s="42" t="inlineStr">
        <is>
          <t>東校</t>
        </is>
      </c>
      <c r="D116" s="42" t="inlineStr">
        <is>
          <t>中1</t>
        </is>
      </c>
      <c r="E116" s="42" t="inlineStr">
        <is>
          <t>映像授業</t>
        </is>
      </c>
      <c r="F116" s="28">
        <f>IFERROR(INDEX(TankaData[1コマ単価],MATCH(E116,TankaData[コース],0)),0)</f>
        <v/>
      </c>
      <c r="G116" s="43" t="n">
        <v>4</v>
      </c>
      <c r="H116" s="29">
        <f>G116*4</f>
        <v/>
      </c>
      <c r="I116" s="28">
        <f>IFERROR(INDEX(TankaData[教材費(標準)],MATCH(E116,TankaData[コース],0)),0)</f>
        <v/>
      </c>
      <c r="J116" s="28">
        <f>F116*H116</f>
        <v/>
      </c>
      <c r="K116" s="28">
        <f>J116+I116+ROUND((J116+I116)*0.1,0)</f>
        <v/>
      </c>
      <c r="L116" t="inlineStr">
        <is>
          <t>seito113@example.com</t>
        </is>
      </c>
      <c r="M116" s="44" t="inlineStr">
        <is>
          <t>📧 Gmailを開く</t>
        </is>
      </c>
      <c r="N116" s="45">
        <f>"教室："&amp;C116&amp;"／コース："&amp;E116&amp;"／コマ数："&amp;H116&amp;"コマ／授業料："&amp;TEXT(J116,"#,##0")&amp;"円／教材費："&amp;TEXT(I116,"#,##0")&amp;"円／消費税："&amp;TEXT(ROUND((J116+I116)*0.1,0),"#,##0")&amp;"円／請求額："&amp;TEXT(K116,"#,##0")&amp;"円"</f>
        <v/>
      </c>
      <c r="O116">
        <f>A116&amp;"："&amp;B116</f>
        <v/>
      </c>
    </row>
    <row r="117">
      <c r="A117" s="42">
        <f>ROW()-3</f>
        <v/>
      </c>
      <c r="B117" t="inlineStr">
        <is>
          <t>林美月</t>
        </is>
      </c>
      <c r="C117" s="42" t="inlineStr">
        <is>
          <t>東校</t>
        </is>
      </c>
      <c r="D117" s="42" t="inlineStr">
        <is>
          <t>高2</t>
        </is>
      </c>
      <c r="E117" s="42" t="inlineStr">
        <is>
          <t>集団授業</t>
        </is>
      </c>
      <c r="F117" s="28">
        <f>IFERROR(INDEX(TankaData[1コマ単価],MATCH(E117,TankaData[コース],0)),0)</f>
        <v/>
      </c>
      <c r="G117" s="43" t="n">
        <v>5</v>
      </c>
      <c r="H117" s="29">
        <f>G117*4</f>
        <v/>
      </c>
      <c r="I117" s="28">
        <f>IFERROR(INDEX(TankaData[教材費(標準)],MATCH(E117,TankaData[コース],0)),0)</f>
        <v/>
      </c>
      <c r="J117" s="28">
        <f>F117*H117</f>
        <v/>
      </c>
      <c r="K117" s="28">
        <f>J117+I117+ROUND((J117+I117)*0.1,0)</f>
        <v/>
      </c>
      <c r="L117" t="inlineStr">
        <is>
          <t>seito114@example.com</t>
        </is>
      </c>
      <c r="M117" s="44" t="inlineStr">
        <is>
          <t>📧 Gmailを開く</t>
        </is>
      </c>
      <c r="N117" s="45">
        <f>"教室："&amp;C117&amp;"／コース："&amp;E117&amp;"／コマ数："&amp;H117&amp;"コマ／授業料："&amp;TEXT(J117,"#,##0")&amp;"円／教材費："&amp;TEXT(I117,"#,##0")&amp;"円／消費税："&amp;TEXT(ROUND((J117+I117)*0.1,0),"#,##0")&amp;"円／請求額："&amp;TEXT(K117,"#,##0")&amp;"円"</f>
        <v/>
      </c>
      <c r="O117">
        <f>A117&amp;"："&amp;B117</f>
        <v/>
      </c>
    </row>
    <row r="118">
      <c r="A118" s="42">
        <f>ROW()-3</f>
        <v/>
      </c>
      <c r="B118" t="inlineStr">
        <is>
          <t>加藤悠斗</t>
        </is>
      </c>
      <c r="C118" s="42" t="inlineStr">
        <is>
          <t>東校</t>
        </is>
      </c>
      <c r="D118" s="42" t="inlineStr">
        <is>
          <t>高1</t>
        </is>
      </c>
      <c r="E118" s="42" t="inlineStr">
        <is>
          <t>集団授業</t>
        </is>
      </c>
      <c r="F118" s="28">
        <f>IFERROR(INDEX(TankaData[1コマ単価],MATCH(E118,TankaData[コース],0)),0)</f>
        <v/>
      </c>
      <c r="G118" s="43" t="n">
        <v>5</v>
      </c>
      <c r="H118" s="29">
        <f>G118*4</f>
        <v/>
      </c>
      <c r="I118" s="28">
        <f>IFERROR(INDEX(TankaData[教材費(標準)],MATCH(E118,TankaData[コース],0)),0)</f>
        <v/>
      </c>
      <c r="J118" s="28">
        <f>F118*H118</f>
        <v/>
      </c>
      <c r="K118" s="28">
        <f>J118+I118+ROUND((J118+I118)*0.1,0)</f>
        <v/>
      </c>
      <c r="L118" t="inlineStr">
        <is>
          <t>seito115@example.com</t>
        </is>
      </c>
      <c r="M118" s="44" t="inlineStr">
        <is>
          <t>📧 Gmailを開く</t>
        </is>
      </c>
      <c r="N118" s="45">
        <f>"教室："&amp;C118&amp;"／コース："&amp;E118&amp;"／コマ数："&amp;H118&amp;"コマ／授業料："&amp;TEXT(J118,"#,##0")&amp;"円／教材費："&amp;TEXT(I118,"#,##0")&amp;"円／消費税："&amp;TEXT(ROUND((J118+I118)*0.1,0),"#,##0")&amp;"円／請求額："&amp;TEXT(K118,"#,##0")&amp;"円"</f>
        <v/>
      </c>
      <c r="O118">
        <f>A118&amp;"："&amp;B118</f>
        <v/>
      </c>
    </row>
    <row r="119">
      <c r="A119" s="42">
        <f>ROW()-3</f>
        <v/>
      </c>
      <c r="B119" t="inlineStr">
        <is>
          <t>福田結衣</t>
        </is>
      </c>
      <c r="C119" s="42" t="inlineStr">
        <is>
          <t>東校</t>
        </is>
      </c>
      <c r="D119" s="42" t="inlineStr">
        <is>
          <t>小4</t>
        </is>
      </c>
      <c r="E119" s="42" t="inlineStr">
        <is>
          <t>個別指導S</t>
        </is>
      </c>
      <c r="F119" s="28">
        <f>IFERROR(INDEX(TankaData[1コマ単価],MATCH(E119,TankaData[コース],0)),0)</f>
        <v/>
      </c>
      <c r="G119" s="43" t="n">
        <v>2</v>
      </c>
      <c r="H119" s="29">
        <f>G119*4</f>
        <v/>
      </c>
      <c r="I119" s="28">
        <f>IFERROR(INDEX(TankaData[教材費(標準)],MATCH(E119,TankaData[コース],0)),0)</f>
        <v/>
      </c>
      <c r="J119" s="28">
        <f>F119*H119</f>
        <v/>
      </c>
      <c r="K119" s="28">
        <f>J119+I119+ROUND((J119+I119)*0.1,0)</f>
        <v/>
      </c>
      <c r="L119" t="inlineStr">
        <is>
          <t>seito116@example.com</t>
        </is>
      </c>
      <c r="M119" s="44" t="inlineStr">
        <is>
          <t>📧 Gmailを開く</t>
        </is>
      </c>
      <c r="N119" s="45">
        <f>"教室："&amp;C119&amp;"／コース："&amp;E119&amp;"／コマ数："&amp;H119&amp;"コマ／授業料："&amp;TEXT(J119,"#,##0")&amp;"円／教材費："&amp;TEXT(I119,"#,##0")&amp;"円／消費税："&amp;TEXT(ROUND((J119+I119)*0.1,0),"#,##0")&amp;"円／請求額："&amp;TEXT(K119,"#,##0")&amp;"円"</f>
        <v/>
      </c>
      <c r="O119">
        <f>A119&amp;"："&amp;B119</f>
        <v/>
      </c>
    </row>
    <row r="120">
      <c r="A120" s="42">
        <f>ROW()-3</f>
        <v/>
      </c>
      <c r="B120" t="inlineStr">
        <is>
          <t>山口陽向</t>
        </is>
      </c>
      <c r="C120" s="42" t="inlineStr">
        <is>
          <t>東校</t>
        </is>
      </c>
      <c r="D120" s="42" t="inlineStr">
        <is>
          <t>中1</t>
        </is>
      </c>
      <c r="E120" s="42" t="inlineStr">
        <is>
          <t>集団授業</t>
        </is>
      </c>
      <c r="F120" s="28">
        <f>IFERROR(INDEX(TankaData[1コマ単価],MATCH(E120,TankaData[コース],0)),0)</f>
        <v/>
      </c>
      <c r="G120" s="43" t="n">
        <v>1</v>
      </c>
      <c r="H120" s="29">
        <f>G120*4</f>
        <v/>
      </c>
      <c r="I120" s="28">
        <f>IFERROR(INDEX(TankaData[教材費(標準)],MATCH(E120,TankaData[コース],0)),0)</f>
        <v/>
      </c>
      <c r="J120" s="28">
        <f>F120*H120</f>
        <v/>
      </c>
      <c r="K120" s="28">
        <f>J120+I120+ROUND((J120+I120)*0.1,0)</f>
        <v/>
      </c>
      <c r="L120" t="inlineStr">
        <is>
          <t>seito117@example.com</t>
        </is>
      </c>
      <c r="M120" s="44" t="inlineStr">
        <is>
          <t>📧 Gmailを開く</t>
        </is>
      </c>
      <c r="N120" s="45">
        <f>"教室："&amp;C120&amp;"／コース："&amp;E120&amp;"／コマ数："&amp;H120&amp;"コマ／授業料："&amp;TEXT(J120,"#,##0")&amp;"円／教材費："&amp;TEXT(I120,"#,##0")&amp;"円／消費税："&amp;TEXT(ROUND((J120+I120)*0.1,0),"#,##0")&amp;"円／請求額："&amp;TEXT(K120,"#,##0")&amp;"円"</f>
        <v/>
      </c>
      <c r="O120">
        <f>A120&amp;"："&amp;B120</f>
        <v/>
      </c>
    </row>
    <row r="121">
      <c r="A121" s="42">
        <f>ROW()-3</f>
        <v/>
      </c>
      <c r="B121" t="inlineStr">
        <is>
          <t>高橋蒼</t>
        </is>
      </c>
      <c r="C121" s="42" t="inlineStr">
        <is>
          <t>東校</t>
        </is>
      </c>
      <c r="D121" s="42" t="inlineStr">
        <is>
          <t>小6</t>
        </is>
      </c>
      <c r="E121" s="42" t="inlineStr">
        <is>
          <t>個別指導</t>
        </is>
      </c>
      <c r="F121" s="28">
        <f>IFERROR(INDEX(TankaData[1コマ単価],MATCH(E121,TankaData[コース],0)),0)</f>
        <v/>
      </c>
      <c r="G121" s="43" t="n">
        <v>2</v>
      </c>
      <c r="H121" s="29">
        <f>G121*4</f>
        <v/>
      </c>
      <c r="I121" s="28">
        <f>IFERROR(INDEX(TankaData[教材費(標準)],MATCH(E121,TankaData[コース],0)),0)</f>
        <v/>
      </c>
      <c r="J121" s="28">
        <f>F121*H121</f>
        <v/>
      </c>
      <c r="K121" s="28">
        <f>J121+I121+ROUND((J121+I121)*0.1,0)</f>
        <v/>
      </c>
      <c r="L121" t="inlineStr">
        <is>
          <t>seito118@example.com</t>
        </is>
      </c>
      <c r="M121" s="44" t="inlineStr">
        <is>
          <t>📧 Gmailを開く</t>
        </is>
      </c>
      <c r="N121" s="45">
        <f>"教室："&amp;C121&amp;"／コース："&amp;E121&amp;"／コマ数："&amp;H121&amp;"コマ／授業料："&amp;TEXT(J121,"#,##0")&amp;"円／教材費："&amp;TEXT(I121,"#,##0")&amp;"円／消費税："&amp;TEXT(ROUND((J121+I121)*0.1,0),"#,##0")&amp;"円／請求額："&amp;TEXT(K121,"#,##0")&amp;"円"</f>
        <v/>
      </c>
      <c r="O121">
        <f>A121&amp;"："&amp;B121</f>
        <v/>
      </c>
    </row>
    <row r="122">
      <c r="A122" s="42">
        <f>ROW()-3</f>
        <v/>
      </c>
      <c r="B122" t="inlineStr">
        <is>
          <t>林翔太</t>
        </is>
      </c>
      <c r="C122" s="42" t="inlineStr">
        <is>
          <t>東校</t>
        </is>
      </c>
      <c r="D122" s="42" t="inlineStr">
        <is>
          <t>高3</t>
        </is>
      </c>
      <c r="E122" s="42" t="inlineStr">
        <is>
          <t>個別指導S</t>
        </is>
      </c>
      <c r="F122" s="28">
        <f>IFERROR(INDEX(TankaData[1コマ単価],MATCH(E122,TankaData[コース],0)),0)</f>
        <v/>
      </c>
      <c r="G122" s="43" t="n">
        <v>2</v>
      </c>
      <c r="H122" s="29">
        <f>G122*4</f>
        <v/>
      </c>
      <c r="I122" s="28">
        <f>IFERROR(INDEX(TankaData[教材費(標準)],MATCH(E122,TankaData[コース],0)),0)</f>
        <v/>
      </c>
      <c r="J122" s="28">
        <f>F122*H122</f>
        <v/>
      </c>
      <c r="K122" s="28">
        <f>J122+I122+ROUND((J122+I122)*0.1,0)</f>
        <v/>
      </c>
      <c r="L122" t="inlineStr">
        <is>
          <t>seito119@example.com</t>
        </is>
      </c>
      <c r="M122" s="44" t="inlineStr">
        <is>
          <t>📧 Gmailを開く</t>
        </is>
      </c>
      <c r="N122" s="45">
        <f>"教室："&amp;C122&amp;"／コース："&amp;E122&amp;"／コマ数："&amp;H122&amp;"コマ／授業料："&amp;TEXT(J122,"#,##0")&amp;"円／教材費："&amp;TEXT(I122,"#,##0")&amp;"円／消費税："&amp;TEXT(ROUND((J122+I122)*0.1,0),"#,##0")&amp;"円／請求額："&amp;TEXT(K122,"#,##0")&amp;"円"</f>
        <v/>
      </c>
      <c r="O122">
        <f>A122&amp;"："&amp;B122</f>
        <v/>
      </c>
    </row>
    <row r="123">
      <c r="A123" s="42">
        <f>ROW()-3</f>
        <v/>
      </c>
      <c r="B123" t="inlineStr">
        <is>
          <t>岡田詩織</t>
        </is>
      </c>
      <c r="C123" s="42" t="inlineStr">
        <is>
          <t>東校</t>
        </is>
      </c>
      <c r="D123" s="42" t="inlineStr">
        <is>
          <t>小4</t>
        </is>
      </c>
      <c r="E123" s="42" t="inlineStr">
        <is>
          <t>映像授業</t>
        </is>
      </c>
      <c r="F123" s="28">
        <f>IFERROR(INDEX(TankaData[1コマ単価],MATCH(E123,TankaData[コース],0)),0)</f>
        <v/>
      </c>
      <c r="G123" s="43" t="n">
        <v>4</v>
      </c>
      <c r="H123" s="29">
        <f>G123*4</f>
        <v/>
      </c>
      <c r="I123" s="28">
        <f>IFERROR(INDEX(TankaData[教材費(標準)],MATCH(E123,TankaData[コース],0)),0)</f>
        <v/>
      </c>
      <c r="J123" s="28">
        <f>F123*H123</f>
        <v/>
      </c>
      <c r="K123" s="28">
        <f>J123+I123+ROUND((J123+I123)*0.1,0)</f>
        <v/>
      </c>
      <c r="L123" t="inlineStr">
        <is>
          <t>seito120@example.com</t>
        </is>
      </c>
      <c r="M123" s="44" t="inlineStr">
        <is>
          <t>📧 Gmailを開く</t>
        </is>
      </c>
      <c r="N123" s="45">
        <f>"教室："&amp;C123&amp;"／コース："&amp;E123&amp;"／コマ数："&amp;H123&amp;"コマ／授業料："&amp;TEXT(J123,"#,##0")&amp;"円／教材費："&amp;TEXT(I123,"#,##0")&amp;"円／消費税："&amp;TEXT(ROUND((J123+I123)*0.1,0),"#,##0")&amp;"円／請求額："&amp;TEXT(K123,"#,##0")&amp;"円"</f>
        <v/>
      </c>
      <c r="O123">
        <f>A123&amp;"："&amp;B123</f>
        <v/>
      </c>
    </row>
    <row r="124">
      <c r="A124" s="42">
        <f>ROW()-3</f>
        <v/>
      </c>
      <c r="B124" t="inlineStr">
        <is>
          <t>後藤蒼</t>
        </is>
      </c>
      <c r="C124" s="42" t="inlineStr">
        <is>
          <t>東校</t>
        </is>
      </c>
      <c r="D124" s="42" t="inlineStr">
        <is>
          <t>高2</t>
        </is>
      </c>
      <c r="E124" s="42" t="inlineStr">
        <is>
          <t>集団授業</t>
        </is>
      </c>
      <c r="F124" s="28">
        <f>IFERROR(INDEX(TankaData[1コマ単価],MATCH(E124,TankaData[コース],0)),0)</f>
        <v/>
      </c>
      <c r="G124" s="43" t="n">
        <v>1</v>
      </c>
      <c r="H124" s="29">
        <f>G124*4</f>
        <v/>
      </c>
      <c r="I124" s="28">
        <f>IFERROR(INDEX(TankaData[教材費(標準)],MATCH(E124,TankaData[コース],0)),0)</f>
        <v/>
      </c>
      <c r="J124" s="28">
        <f>F124*H124</f>
        <v/>
      </c>
      <c r="K124" s="28">
        <f>J124+I124+ROUND((J124+I124)*0.1,0)</f>
        <v/>
      </c>
      <c r="L124" t="inlineStr">
        <is>
          <t>seito121@example.com</t>
        </is>
      </c>
      <c r="M124" s="44" t="inlineStr">
        <is>
          <t>📧 Gmailを開く</t>
        </is>
      </c>
      <c r="N124" s="45">
        <f>"教室："&amp;C124&amp;"／コース："&amp;E124&amp;"／コマ数："&amp;H124&amp;"コマ／授業料："&amp;TEXT(J124,"#,##0")&amp;"円／教材費："&amp;TEXT(I124,"#,##0")&amp;"円／消費税："&amp;TEXT(ROUND((J124+I124)*0.1,0),"#,##0")&amp;"円／請求額："&amp;TEXT(K124,"#,##0")&amp;"円"</f>
        <v/>
      </c>
      <c r="O124">
        <f>A124&amp;"："&amp;B124</f>
        <v/>
      </c>
    </row>
    <row r="125">
      <c r="A125" s="42">
        <f>ROW()-3</f>
        <v/>
      </c>
      <c r="B125" t="inlineStr">
        <is>
          <t>渡辺陽菜乃</t>
        </is>
      </c>
      <c r="C125" s="42" t="inlineStr">
        <is>
          <t>東校</t>
        </is>
      </c>
      <c r="D125" s="42" t="inlineStr">
        <is>
          <t>中1</t>
        </is>
      </c>
      <c r="E125" s="42" t="inlineStr">
        <is>
          <t>集団授業</t>
        </is>
      </c>
      <c r="F125" s="28">
        <f>IFERROR(INDEX(TankaData[1コマ単価],MATCH(E125,TankaData[コース],0)),0)</f>
        <v/>
      </c>
      <c r="G125" s="43" t="n">
        <v>3</v>
      </c>
      <c r="H125" s="29">
        <f>G125*4</f>
        <v/>
      </c>
      <c r="I125" s="28">
        <f>IFERROR(INDEX(TankaData[教材費(標準)],MATCH(E125,TankaData[コース],0)),0)</f>
        <v/>
      </c>
      <c r="J125" s="28">
        <f>F125*H125</f>
        <v/>
      </c>
      <c r="K125" s="28">
        <f>J125+I125+ROUND((J125+I125)*0.1,0)</f>
        <v/>
      </c>
      <c r="L125" t="inlineStr">
        <is>
          <t>seito122@example.com</t>
        </is>
      </c>
      <c r="M125" s="44" t="inlineStr">
        <is>
          <t>📧 Gmailを開く</t>
        </is>
      </c>
      <c r="N125" s="45">
        <f>"教室："&amp;C125&amp;"／コース："&amp;E125&amp;"／コマ数："&amp;H125&amp;"コマ／授業料："&amp;TEXT(J125,"#,##0")&amp;"円／教材費："&amp;TEXT(I125,"#,##0")&amp;"円／消費税："&amp;TEXT(ROUND((J125+I125)*0.1,0),"#,##0")&amp;"円／請求額："&amp;TEXT(K125,"#,##0")&amp;"円"</f>
        <v/>
      </c>
      <c r="O125">
        <f>A125&amp;"："&amp;B125</f>
        <v/>
      </c>
    </row>
    <row r="126">
      <c r="A126" s="42">
        <f>ROW()-3</f>
        <v/>
      </c>
      <c r="B126" t="inlineStr">
        <is>
          <t>小川一輝</t>
        </is>
      </c>
      <c r="C126" s="42" t="inlineStr">
        <is>
          <t>東校</t>
        </is>
      </c>
      <c r="D126" s="42" t="inlineStr">
        <is>
          <t>高2</t>
        </is>
      </c>
      <c r="E126" s="42" t="inlineStr">
        <is>
          <t>個別指導S</t>
        </is>
      </c>
      <c r="F126" s="28">
        <f>IFERROR(INDEX(TankaData[1コマ単価],MATCH(E126,TankaData[コース],0)),0)</f>
        <v/>
      </c>
      <c r="G126" s="43" t="n">
        <v>2</v>
      </c>
      <c r="H126" s="29">
        <f>G126*4</f>
        <v/>
      </c>
      <c r="I126" s="28">
        <f>IFERROR(INDEX(TankaData[教材費(標準)],MATCH(E126,TankaData[コース],0)),0)</f>
        <v/>
      </c>
      <c r="J126" s="28">
        <f>F126*H126</f>
        <v/>
      </c>
      <c r="K126" s="28">
        <f>J126+I126+ROUND((J126+I126)*0.1,0)</f>
        <v/>
      </c>
      <c r="L126" t="inlineStr">
        <is>
          <t>seito123@example.com</t>
        </is>
      </c>
      <c r="M126" s="44" t="inlineStr">
        <is>
          <t>📧 Gmailを開く</t>
        </is>
      </c>
      <c r="N126" s="45">
        <f>"教室："&amp;C126&amp;"／コース："&amp;E126&amp;"／コマ数："&amp;H126&amp;"コマ／授業料："&amp;TEXT(J126,"#,##0")&amp;"円／教材費："&amp;TEXT(I126,"#,##0")&amp;"円／消費税："&amp;TEXT(ROUND((J126+I126)*0.1,0),"#,##0")&amp;"円／請求額："&amp;TEXT(K126,"#,##0")&amp;"円"</f>
        <v/>
      </c>
      <c r="O126">
        <f>A126&amp;"："&amp;B126</f>
        <v/>
      </c>
    </row>
    <row r="127">
      <c r="A127" s="42">
        <f>ROW()-3</f>
        <v/>
      </c>
      <c r="B127" t="inlineStr">
        <is>
          <t>斎藤愛</t>
        </is>
      </c>
      <c r="C127" s="42" t="inlineStr">
        <is>
          <t>東校</t>
        </is>
      </c>
      <c r="D127" s="42" t="inlineStr">
        <is>
          <t>中2</t>
        </is>
      </c>
      <c r="E127" s="42" t="inlineStr">
        <is>
          <t>個別指導</t>
        </is>
      </c>
      <c r="F127" s="28">
        <f>IFERROR(INDEX(TankaData[1コマ単価],MATCH(E127,TankaData[コース],0)),0)</f>
        <v/>
      </c>
      <c r="G127" s="43" t="n">
        <v>4</v>
      </c>
      <c r="H127" s="29">
        <f>G127*4</f>
        <v/>
      </c>
      <c r="I127" s="28">
        <f>IFERROR(INDEX(TankaData[教材費(標準)],MATCH(E127,TankaData[コース],0)),0)</f>
        <v/>
      </c>
      <c r="J127" s="28">
        <f>F127*H127</f>
        <v/>
      </c>
      <c r="K127" s="28">
        <f>J127+I127+ROUND((J127+I127)*0.1,0)</f>
        <v/>
      </c>
      <c r="L127" t="inlineStr">
        <is>
          <t>seito124@example.com</t>
        </is>
      </c>
      <c r="M127" s="44" t="inlineStr">
        <is>
          <t>📧 Gmailを開く</t>
        </is>
      </c>
      <c r="N127" s="45">
        <f>"教室："&amp;C127&amp;"／コース："&amp;E127&amp;"／コマ数："&amp;H127&amp;"コマ／授業料："&amp;TEXT(J127,"#,##0")&amp;"円／教材費："&amp;TEXT(I127,"#,##0")&amp;"円／消費税："&amp;TEXT(ROUND((J127+I127)*0.1,0),"#,##0")&amp;"円／請求額："&amp;TEXT(K127,"#,##0")&amp;"円"</f>
        <v/>
      </c>
      <c r="O127">
        <f>A127&amp;"："&amp;B127</f>
        <v/>
      </c>
    </row>
    <row r="128">
      <c r="A128" s="42">
        <f>ROW()-3</f>
        <v/>
      </c>
      <c r="B128" t="inlineStr">
        <is>
          <t>長谷川咲良</t>
        </is>
      </c>
      <c r="C128" s="42" t="inlineStr">
        <is>
          <t>東校</t>
        </is>
      </c>
      <c r="D128" s="42" t="inlineStr">
        <is>
          <t>小5</t>
        </is>
      </c>
      <c r="E128" s="42" t="inlineStr">
        <is>
          <t>個別指導</t>
        </is>
      </c>
      <c r="F128" s="28">
        <f>IFERROR(INDEX(TankaData[1コマ単価],MATCH(E128,TankaData[コース],0)),0)</f>
        <v/>
      </c>
      <c r="G128" s="43" t="n">
        <v>2</v>
      </c>
      <c r="H128" s="29">
        <f>G128*4</f>
        <v/>
      </c>
      <c r="I128" s="28">
        <f>IFERROR(INDEX(TankaData[教材費(標準)],MATCH(E128,TankaData[コース],0)),0)</f>
        <v/>
      </c>
      <c r="J128" s="28">
        <f>F128*H128</f>
        <v/>
      </c>
      <c r="K128" s="28">
        <f>J128+I128+ROUND((J128+I128)*0.1,0)</f>
        <v/>
      </c>
      <c r="L128" t="inlineStr">
        <is>
          <t>seito125@example.com</t>
        </is>
      </c>
      <c r="M128" s="44" t="inlineStr">
        <is>
          <t>📧 Gmailを開く</t>
        </is>
      </c>
      <c r="N128" s="45">
        <f>"教室："&amp;C128&amp;"／コース："&amp;E128&amp;"／コマ数："&amp;H128&amp;"コマ／授業料："&amp;TEXT(J128,"#,##0")&amp;"円／教材費："&amp;TEXT(I128,"#,##0")&amp;"円／消費税："&amp;TEXT(ROUND((J128+I128)*0.1,0),"#,##0")&amp;"円／請求額："&amp;TEXT(K128,"#,##0")&amp;"円"</f>
        <v/>
      </c>
      <c r="O128">
        <f>A128&amp;"："&amp;B128</f>
        <v/>
      </c>
    </row>
    <row r="129">
      <c r="A129" s="42">
        <f>ROW()-3</f>
        <v/>
      </c>
      <c r="B129" t="inlineStr">
        <is>
          <t>長谷川煌</t>
        </is>
      </c>
      <c r="C129" s="42" t="inlineStr">
        <is>
          <t>東校</t>
        </is>
      </c>
      <c r="D129" s="42" t="inlineStr">
        <is>
          <t>中2</t>
        </is>
      </c>
      <c r="E129" s="42" t="inlineStr">
        <is>
          <t>個別指導</t>
        </is>
      </c>
      <c r="F129" s="28">
        <f>IFERROR(INDEX(TankaData[1コマ単価],MATCH(E129,TankaData[コース],0)),0)</f>
        <v/>
      </c>
      <c r="G129" s="43" t="n">
        <v>1</v>
      </c>
      <c r="H129" s="29">
        <f>G129*4</f>
        <v/>
      </c>
      <c r="I129" s="28">
        <f>IFERROR(INDEX(TankaData[教材費(標準)],MATCH(E129,TankaData[コース],0)),0)</f>
        <v/>
      </c>
      <c r="J129" s="28">
        <f>F129*H129</f>
        <v/>
      </c>
      <c r="K129" s="28">
        <f>J129+I129+ROUND((J129+I129)*0.1,0)</f>
        <v/>
      </c>
      <c r="L129" t="inlineStr">
        <is>
          <t>seito126@example.com</t>
        </is>
      </c>
      <c r="M129" s="44" t="inlineStr">
        <is>
          <t>📧 Gmailを開く</t>
        </is>
      </c>
      <c r="N129" s="45">
        <f>"教室："&amp;C129&amp;"／コース："&amp;E129&amp;"／コマ数："&amp;H129&amp;"コマ／授業料："&amp;TEXT(J129,"#,##0")&amp;"円／教材費："&amp;TEXT(I129,"#,##0")&amp;"円／消費税："&amp;TEXT(ROUND((J129+I129)*0.1,0),"#,##0")&amp;"円／請求額："&amp;TEXT(K129,"#,##0")&amp;"円"</f>
        <v/>
      </c>
      <c r="O129">
        <f>A129&amp;"："&amp;B129</f>
        <v/>
      </c>
    </row>
    <row r="130">
      <c r="A130" s="42">
        <f>ROW()-3</f>
        <v/>
      </c>
      <c r="B130" t="inlineStr">
        <is>
          <t>吉田萌</t>
        </is>
      </c>
      <c r="C130" s="42" t="inlineStr">
        <is>
          <t>東校</t>
        </is>
      </c>
      <c r="D130" s="42" t="inlineStr">
        <is>
          <t>小4</t>
        </is>
      </c>
      <c r="E130" s="42" t="inlineStr">
        <is>
          <t>個別指導</t>
        </is>
      </c>
      <c r="F130" s="28">
        <f>IFERROR(INDEX(TankaData[1コマ単価],MATCH(E130,TankaData[コース],0)),0)</f>
        <v/>
      </c>
      <c r="G130" s="43" t="n">
        <v>3</v>
      </c>
      <c r="H130" s="29">
        <f>G130*4</f>
        <v/>
      </c>
      <c r="I130" s="28">
        <f>IFERROR(INDEX(TankaData[教材費(標準)],MATCH(E130,TankaData[コース],0)),0)</f>
        <v/>
      </c>
      <c r="J130" s="28">
        <f>F130*H130</f>
        <v/>
      </c>
      <c r="K130" s="28">
        <f>J130+I130+ROUND((J130+I130)*0.1,0)</f>
        <v/>
      </c>
      <c r="L130" t="inlineStr">
        <is>
          <t>seito127@example.com</t>
        </is>
      </c>
      <c r="M130" s="44" t="inlineStr">
        <is>
          <t>📧 Gmailを開く</t>
        </is>
      </c>
      <c r="N130" s="45">
        <f>"教室："&amp;C130&amp;"／コース："&amp;E130&amp;"／コマ数："&amp;H130&amp;"コマ／授業料："&amp;TEXT(J130,"#,##0")&amp;"円／教材費："&amp;TEXT(I130,"#,##0")&amp;"円／消費税："&amp;TEXT(ROUND((J130+I130)*0.1,0),"#,##0")&amp;"円／請求額："&amp;TEXT(K130,"#,##0")&amp;"円"</f>
        <v/>
      </c>
      <c r="O130">
        <f>A130&amp;"："&amp;B130</f>
        <v/>
      </c>
    </row>
    <row r="131">
      <c r="A131" s="42">
        <f>ROW()-3</f>
        <v/>
      </c>
      <c r="B131" t="inlineStr">
        <is>
          <t>山本一輝</t>
        </is>
      </c>
      <c r="C131" s="42" t="inlineStr">
        <is>
          <t>東校</t>
        </is>
      </c>
      <c r="D131" s="42" t="inlineStr">
        <is>
          <t>中2</t>
        </is>
      </c>
      <c r="E131" s="42" t="inlineStr">
        <is>
          <t>映像授業</t>
        </is>
      </c>
      <c r="F131" s="28">
        <f>IFERROR(INDEX(TankaData[1コマ単価],MATCH(E131,TankaData[コース],0)),0)</f>
        <v/>
      </c>
      <c r="G131" s="43" t="n">
        <v>1</v>
      </c>
      <c r="H131" s="29">
        <f>G131*4</f>
        <v/>
      </c>
      <c r="I131" s="28">
        <f>IFERROR(INDEX(TankaData[教材費(標準)],MATCH(E131,TankaData[コース],0)),0)</f>
        <v/>
      </c>
      <c r="J131" s="28">
        <f>F131*H131</f>
        <v/>
      </c>
      <c r="K131" s="28">
        <f>J131+I131+ROUND((J131+I131)*0.1,0)</f>
        <v/>
      </c>
      <c r="L131" t="inlineStr">
        <is>
          <t>seito128@example.com</t>
        </is>
      </c>
      <c r="M131" s="44" t="inlineStr">
        <is>
          <t>📧 Gmailを開く</t>
        </is>
      </c>
      <c r="N131" s="45">
        <f>"教室："&amp;C131&amp;"／コース："&amp;E131&amp;"／コマ数："&amp;H131&amp;"コマ／授業料："&amp;TEXT(J131,"#,##0")&amp;"円／教材費："&amp;TEXT(I131,"#,##0")&amp;"円／消費税："&amp;TEXT(ROUND((J131+I131)*0.1,0),"#,##0")&amp;"円／請求額："&amp;TEXT(K131,"#,##0")&amp;"円"</f>
        <v/>
      </c>
      <c r="O131">
        <f>A131&amp;"："&amp;B131</f>
        <v/>
      </c>
    </row>
    <row r="132">
      <c r="A132" s="42">
        <f>ROW()-3</f>
        <v/>
      </c>
      <c r="B132" t="inlineStr">
        <is>
          <t>坂本凛</t>
        </is>
      </c>
      <c r="C132" s="42" t="inlineStr">
        <is>
          <t>東校</t>
        </is>
      </c>
      <c r="D132" s="42" t="inlineStr">
        <is>
          <t>高2</t>
        </is>
      </c>
      <c r="E132" s="42" t="inlineStr">
        <is>
          <t>集団授業</t>
        </is>
      </c>
      <c r="F132" s="28">
        <f>IFERROR(INDEX(TankaData[1コマ単価],MATCH(E132,TankaData[コース],0)),0)</f>
        <v/>
      </c>
      <c r="G132" s="43" t="n">
        <v>4</v>
      </c>
      <c r="H132" s="29">
        <f>G132*4</f>
        <v/>
      </c>
      <c r="I132" s="28">
        <f>IFERROR(INDEX(TankaData[教材費(標準)],MATCH(E132,TankaData[コース],0)),0)</f>
        <v/>
      </c>
      <c r="J132" s="28">
        <f>F132*H132</f>
        <v/>
      </c>
      <c r="K132" s="28">
        <f>J132+I132+ROUND((J132+I132)*0.1,0)</f>
        <v/>
      </c>
      <c r="L132" t="inlineStr">
        <is>
          <t>seito129@example.com</t>
        </is>
      </c>
      <c r="M132" s="44" t="inlineStr">
        <is>
          <t>📧 Gmailを開く</t>
        </is>
      </c>
      <c r="N132" s="45">
        <f>"教室："&amp;C132&amp;"／コース："&amp;E132&amp;"／コマ数："&amp;H132&amp;"コマ／授業料："&amp;TEXT(J132,"#,##0")&amp;"円／教材費："&amp;TEXT(I132,"#,##0")&amp;"円／消費税："&amp;TEXT(ROUND((J132+I132)*0.1,0),"#,##0")&amp;"円／請求額："&amp;TEXT(K132,"#,##0")&amp;"円"</f>
        <v/>
      </c>
      <c r="O132">
        <f>A132&amp;"："&amp;B132</f>
        <v/>
      </c>
    </row>
    <row r="133">
      <c r="A133" s="42">
        <f>ROW()-3</f>
        <v/>
      </c>
      <c r="B133" t="inlineStr">
        <is>
          <t>佐藤蒼</t>
        </is>
      </c>
      <c r="C133" s="42" t="inlineStr">
        <is>
          <t>東校</t>
        </is>
      </c>
      <c r="D133" s="42" t="inlineStr">
        <is>
          <t>中2</t>
        </is>
      </c>
      <c r="E133" s="42" t="inlineStr">
        <is>
          <t>映像授業</t>
        </is>
      </c>
      <c r="F133" s="28">
        <f>IFERROR(INDEX(TankaData[1コマ単価],MATCH(E133,TankaData[コース],0)),0)</f>
        <v/>
      </c>
      <c r="G133" s="43" t="n">
        <v>4</v>
      </c>
      <c r="H133" s="29">
        <f>G133*4</f>
        <v/>
      </c>
      <c r="I133" s="28">
        <f>IFERROR(INDEX(TankaData[教材費(標準)],MATCH(E133,TankaData[コース],0)),0)</f>
        <v/>
      </c>
      <c r="J133" s="28">
        <f>F133*H133</f>
        <v/>
      </c>
      <c r="K133" s="28">
        <f>J133+I133+ROUND((J133+I133)*0.1,0)</f>
        <v/>
      </c>
      <c r="L133" t="inlineStr">
        <is>
          <t>seito130@example.com</t>
        </is>
      </c>
      <c r="M133" s="44" t="inlineStr">
        <is>
          <t>📧 Gmailを開く</t>
        </is>
      </c>
      <c r="N133" s="45">
        <f>"教室："&amp;C133&amp;"／コース："&amp;E133&amp;"／コマ数："&amp;H133&amp;"コマ／授業料："&amp;TEXT(J133,"#,##0")&amp;"円／教材費："&amp;TEXT(I133,"#,##0")&amp;"円／消費税："&amp;TEXT(ROUND((J133+I133)*0.1,0),"#,##0")&amp;"円／請求額："&amp;TEXT(K133,"#,##0")&amp;"円"</f>
        <v/>
      </c>
      <c r="O133">
        <f>A133&amp;"："&amp;B133</f>
        <v/>
      </c>
    </row>
    <row r="134">
      <c r="A134" s="42">
        <f>ROW()-3</f>
        <v/>
      </c>
      <c r="B134" t="inlineStr">
        <is>
          <t>前田結翔</t>
        </is>
      </c>
      <c r="C134" s="42" t="inlineStr">
        <is>
          <t>西校</t>
        </is>
      </c>
      <c r="D134" s="42" t="inlineStr">
        <is>
          <t>小5</t>
        </is>
      </c>
      <c r="E134" s="42" t="inlineStr">
        <is>
          <t>個別指導S</t>
        </is>
      </c>
      <c r="F134" s="28">
        <f>IFERROR(INDEX(TankaData[1コマ単価],MATCH(E134,TankaData[コース],0)),0)</f>
        <v/>
      </c>
      <c r="G134" s="43" t="n">
        <v>4</v>
      </c>
      <c r="H134" s="29">
        <f>G134*4</f>
        <v/>
      </c>
      <c r="I134" s="28">
        <f>IFERROR(INDEX(TankaData[教材費(標準)],MATCH(E134,TankaData[コース],0)),0)</f>
        <v/>
      </c>
      <c r="J134" s="28">
        <f>F134*H134</f>
        <v/>
      </c>
      <c r="K134" s="28">
        <f>J134+I134+ROUND((J134+I134)*0.1,0)</f>
        <v/>
      </c>
      <c r="L134" t="inlineStr">
        <is>
          <t>seito131@example.com</t>
        </is>
      </c>
      <c r="M134" s="44" t="inlineStr">
        <is>
          <t>📧 Gmailを開く</t>
        </is>
      </c>
      <c r="N134" s="45">
        <f>"教室："&amp;C134&amp;"／コース："&amp;E134&amp;"／コマ数："&amp;H134&amp;"コマ／授業料："&amp;TEXT(J134,"#,##0")&amp;"円／教材費："&amp;TEXT(I134,"#,##0")&amp;"円／消費税："&amp;TEXT(ROUND((J134+I134)*0.1,0),"#,##0")&amp;"円／請求額："&amp;TEXT(K134,"#,##0")&amp;"円"</f>
        <v/>
      </c>
      <c r="O134">
        <f>A134&amp;"："&amp;B134</f>
        <v/>
      </c>
    </row>
    <row r="135">
      <c r="A135" s="42">
        <f>ROW()-3</f>
        <v/>
      </c>
      <c r="B135" t="inlineStr">
        <is>
          <t>竹内蒼</t>
        </is>
      </c>
      <c r="C135" s="42" t="inlineStr">
        <is>
          <t>西校</t>
        </is>
      </c>
      <c r="D135" s="42" t="inlineStr">
        <is>
          <t>中3</t>
        </is>
      </c>
      <c r="E135" s="42" t="inlineStr">
        <is>
          <t>集団授業</t>
        </is>
      </c>
      <c r="F135" s="28">
        <f>IFERROR(INDEX(TankaData[1コマ単価],MATCH(E135,TankaData[コース],0)),0)</f>
        <v/>
      </c>
      <c r="G135" s="43" t="n">
        <v>1</v>
      </c>
      <c r="H135" s="29">
        <f>G135*4</f>
        <v/>
      </c>
      <c r="I135" s="28">
        <f>IFERROR(INDEX(TankaData[教材費(標準)],MATCH(E135,TankaData[コース],0)),0)</f>
        <v/>
      </c>
      <c r="J135" s="28">
        <f>F135*H135</f>
        <v/>
      </c>
      <c r="K135" s="28">
        <f>J135+I135+ROUND((J135+I135)*0.1,0)</f>
        <v/>
      </c>
      <c r="L135" t="inlineStr">
        <is>
          <t>seito132@example.com</t>
        </is>
      </c>
      <c r="M135" s="44" t="inlineStr">
        <is>
          <t>📧 Gmailを開く</t>
        </is>
      </c>
      <c r="N135" s="45">
        <f>"教室："&amp;C135&amp;"／コース："&amp;E135&amp;"／コマ数："&amp;H135&amp;"コマ／授業料："&amp;TEXT(J135,"#,##0")&amp;"円／教材費："&amp;TEXT(I135,"#,##0")&amp;"円／消費税："&amp;TEXT(ROUND((J135+I135)*0.1,0),"#,##0")&amp;"円／請求額："&amp;TEXT(K135,"#,##0")&amp;"円"</f>
        <v/>
      </c>
      <c r="O135">
        <f>A135&amp;"："&amp;B135</f>
        <v/>
      </c>
    </row>
    <row r="136">
      <c r="A136" s="42">
        <f>ROW()-3</f>
        <v/>
      </c>
      <c r="B136" t="inlineStr">
        <is>
          <t>加藤葵</t>
        </is>
      </c>
      <c r="C136" s="42" t="inlineStr">
        <is>
          <t>西校</t>
        </is>
      </c>
      <c r="D136" s="42" t="inlineStr">
        <is>
          <t>小5</t>
        </is>
      </c>
      <c r="E136" s="42" t="inlineStr">
        <is>
          <t>個別指導</t>
        </is>
      </c>
      <c r="F136" s="28">
        <f>IFERROR(INDEX(TankaData[1コマ単価],MATCH(E136,TankaData[コース],0)),0)</f>
        <v/>
      </c>
      <c r="G136" s="43" t="n">
        <v>5</v>
      </c>
      <c r="H136" s="29">
        <f>G136*4</f>
        <v/>
      </c>
      <c r="I136" s="28">
        <f>IFERROR(INDEX(TankaData[教材費(標準)],MATCH(E136,TankaData[コース],0)),0)</f>
        <v/>
      </c>
      <c r="J136" s="28">
        <f>F136*H136</f>
        <v/>
      </c>
      <c r="K136" s="28">
        <f>J136+I136+ROUND((J136+I136)*0.1,0)</f>
        <v/>
      </c>
      <c r="L136" t="inlineStr">
        <is>
          <t>seito133@example.com</t>
        </is>
      </c>
      <c r="M136" s="44" t="inlineStr">
        <is>
          <t>📧 Gmailを開く</t>
        </is>
      </c>
      <c r="N136" s="45">
        <f>"教室："&amp;C136&amp;"／コース："&amp;E136&amp;"／コマ数："&amp;H136&amp;"コマ／授業料："&amp;TEXT(J136,"#,##0")&amp;"円／教材費："&amp;TEXT(I136,"#,##0")&amp;"円／消費税："&amp;TEXT(ROUND((J136+I136)*0.1,0),"#,##0")&amp;"円／請求額："&amp;TEXT(K136,"#,##0")&amp;"円"</f>
        <v/>
      </c>
      <c r="O136">
        <f>A136&amp;"："&amp;B136</f>
        <v/>
      </c>
    </row>
    <row r="137">
      <c r="A137" s="42">
        <f>ROW()-3</f>
        <v/>
      </c>
      <c r="B137" t="inlineStr">
        <is>
          <t>佐藤萌</t>
        </is>
      </c>
      <c r="C137" s="42" t="inlineStr">
        <is>
          <t>西校</t>
        </is>
      </c>
      <c r="D137" s="42" t="inlineStr">
        <is>
          <t>小4</t>
        </is>
      </c>
      <c r="E137" s="42" t="inlineStr">
        <is>
          <t>集団授業</t>
        </is>
      </c>
      <c r="F137" s="28">
        <f>IFERROR(INDEX(TankaData[1コマ単価],MATCH(E137,TankaData[コース],0)),0)</f>
        <v/>
      </c>
      <c r="G137" s="43" t="n">
        <v>5</v>
      </c>
      <c r="H137" s="29">
        <f>G137*4</f>
        <v/>
      </c>
      <c r="I137" s="28">
        <f>IFERROR(INDEX(TankaData[教材費(標準)],MATCH(E137,TankaData[コース],0)),0)</f>
        <v/>
      </c>
      <c r="J137" s="28">
        <f>F137*H137</f>
        <v/>
      </c>
      <c r="K137" s="28">
        <f>J137+I137+ROUND((J137+I137)*0.1,0)</f>
        <v/>
      </c>
      <c r="L137" t="inlineStr">
        <is>
          <t>seito134@example.com</t>
        </is>
      </c>
      <c r="M137" s="44" t="inlineStr">
        <is>
          <t>📧 Gmailを開く</t>
        </is>
      </c>
      <c r="N137" s="45">
        <f>"教室："&amp;C137&amp;"／コース："&amp;E137&amp;"／コマ数："&amp;H137&amp;"コマ／授業料："&amp;TEXT(J137,"#,##0")&amp;"円／教材費："&amp;TEXT(I137,"#,##0")&amp;"円／消費税："&amp;TEXT(ROUND((J137+I137)*0.1,0),"#,##0")&amp;"円／請求額："&amp;TEXT(K137,"#,##0")&amp;"円"</f>
        <v/>
      </c>
      <c r="O137">
        <f>A137&amp;"："&amp;B137</f>
        <v/>
      </c>
    </row>
    <row r="138">
      <c r="A138" s="42">
        <f>ROW()-3</f>
        <v/>
      </c>
      <c r="B138" t="inlineStr">
        <is>
          <t>阿部花音</t>
        </is>
      </c>
      <c r="C138" s="42" t="inlineStr">
        <is>
          <t>西校</t>
        </is>
      </c>
      <c r="D138" s="42" t="inlineStr">
        <is>
          <t>小4</t>
        </is>
      </c>
      <c r="E138" s="42" t="inlineStr">
        <is>
          <t>個別指導</t>
        </is>
      </c>
      <c r="F138" s="28">
        <f>IFERROR(INDEX(TankaData[1コマ単価],MATCH(E138,TankaData[コース],0)),0)</f>
        <v/>
      </c>
      <c r="G138" s="43" t="n">
        <v>4</v>
      </c>
      <c r="H138" s="29">
        <f>G138*4</f>
        <v/>
      </c>
      <c r="I138" s="28">
        <f>IFERROR(INDEX(TankaData[教材費(標準)],MATCH(E138,TankaData[コース],0)),0)</f>
        <v/>
      </c>
      <c r="J138" s="28">
        <f>F138*H138</f>
        <v/>
      </c>
      <c r="K138" s="28">
        <f>J138+I138+ROUND((J138+I138)*0.1,0)</f>
        <v/>
      </c>
      <c r="L138" t="inlineStr">
        <is>
          <t>seito135@example.com</t>
        </is>
      </c>
      <c r="M138" s="44" t="inlineStr">
        <is>
          <t>📧 Gmailを開く</t>
        </is>
      </c>
      <c r="N138" s="45">
        <f>"教室："&amp;C138&amp;"／コース："&amp;E138&amp;"／コマ数："&amp;H138&amp;"コマ／授業料："&amp;TEXT(J138,"#,##0")&amp;"円／教材費："&amp;TEXT(I138,"#,##0")&amp;"円／消費税："&amp;TEXT(ROUND((J138+I138)*0.1,0),"#,##0")&amp;"円／請求額："&amp;TEXT(K138,"#,##0")&amp;"円"</f>
        <v/>
      </c>
      <c r="O138">
        <f>A138&amp;"："&amp;B138</f>
        <v/>
      </c>
    </row>
    <row r="139">
      <c r="A139" s="42">
        <f>ROW()-3</f>
        <v/>
      </c>
      <c r="B139" t="inlineStr">
        <is>
          <t>近藤大和</t>
        </is>
      </c>
      <c r="C139" s="42" t="inlineStr">
        <is>
          <t>西校</t>
        </is>
      </c>
      <c r="D139" s="42" t="inlineStr">
        <is>
          <t>高3</t>
        </is>
      </c>
      <c r="E139" s="42" t="inlineStr">
        <is>
          <t>映像授業</t>
        </is>
      </c>
      <c r="F139" s="28">
        <f>IFERROR(INDEX(TankaData[1コマ単価],MATCH(E139,TankaData[コース],0)),0)</f>
        <v/>
      </c>
      <c r="G139" s="43" t="n">
        <v>3</v>
      </c>
      <c r="H139" s="29">
        <f>G139*4</f>
        <v/>
      </c>
      <c r="I139" s="28">
        <f>IFERROR(INDEX(TankaData[教材費(標準)],MATCH(E139,TankaData[コース],0)),0)</f>
        <v/>
      </c>
      <c r="J139" s="28">
        <f>F139*H139</f>
        <v/>
      </c>
      <c r="K139" s="28">
        <f>J139+I139+ROUND((J139+I139)*0.1,0)</f>
        <v/>
      </c>
      <c r="L139" t="inlineStr">
        <is>
          <t>seito136@example.com</t>
        </is>
      </c>
      <c r="M139" s="44" t="inlineStr">
        <is>
          <t>📧 Gmailを開く</t>
        </is>
      </c>
      <c r="N139" s="45">
        <f>"教室："&amp;C139&amp;"／コース："&amp;E139&amp;"／コマ数："&amp;H139&amp;"コマ／授業料："&amp;TEXT(J139,"#,##0")&amp;"円／教材費："&amp;TEXT(I139,"#,##0")&amp;"円／消費税："&amp;TEXT(ROUND((J139+I139)*0.1,0),"#,##0")&amp;"円／請求額："&amp;TEXT(K139,"#,##0")&amp;"円"</f>
        <v/>
      </c>
      <c r="O139">
        <f>A139&amp;"："&amp;B139</f>
        <v/>
      </c>
    </row>
    <row r="140">
      <c r="A140" s="42">
        <f>ROW()-3</f>
        <v/>
      </c>
      <c r="B140" t="inlineStr">
        <is>
          <t>田村陽向</t>
        </is>
      </c>
      <c r="C140" s="42" t="inlineStr">
        <is>
          <t>西校</t>
        </is>
      </c>
      <c r="D140" s="42" t="inlineStr">
        <is>
          <t>小6</t>
        </is>
      </c>
      <c r="E140" s="42" t="inlineStr">
        <is>
          <t>映像授業</t>
        </is>
      </c>
      <c r="F140" s="28">
        <f>IFERROR(INDEX(TankaData[1コマ単価],MATCH(E140,TankaData[コース],0)),0)</f>
        <v/>
      </c>
      <c r="G140" s="43" t="n">
        <v>4</v>
      </c>
      <c r="H140" s="29">
        <f>G140*4</f>
        <v/>
      </c>
      <c r="I140" s="28">
        <f>IFERROR(INDEX(TankaData[教材費(標準)],MATCH(E140,TankaData[コース],0)),0)</f>
        <v/>
      </c>
      <c r="J140" s="28">
        <f>F140*H140</f>
        <v/>
      </c>
      <c r="K140" s="28">
        <f>J140+I140+ROUND((J140+I140)*0.1,0)</f>
        <v/>
      </c>
      <c r="L140" t="inlineStr">
        <is>
          <t>seito137@example.com</t>
        </is>
      </c>
      <c r="M140" s="44" t="inlineStr">
        <is>
          <t>📧 Gmailを開く</t>
        </is>
      </c>
      <c r="N140" s="45">
        <f>"教室："&amp;C140&amp;"／コース："&amp;E140&amp;"／コマ数："&amp;H140&amp;"コマ／授業料："&amp;TEXT(J140,"#,##0")&amp;"円／教材費："&amp;TEXT(I140,"#,##0")&amp;"円／消費税："&amp;TEXT(ROUND((J140+I140)*0.1,0),"#,##0")&amp;"円／請求額："&amp;TEXT(K140,"#,##0")&amp;"円"</f>
        <v/>
      </c>
      <c r="O140">
        <f>A140&amp;"："&amp;B140</f>
        <v/>
      </c>
    </row>
    <row r="141">
      <c r="A141" s="42">
        <f>ROW()-3</f>
        <v/>
      </c>
      <c r="B141" t="inlineStr">
        <is>
          <t>岡本美結</t>
        </is>
      </c>
      <c r="C141" s="42" t="inlineStr">
        <is>
          <t>西校</t>
        </is>
      </c>
      <c r="D141" s="42" t="inlineStr">
        <is>
          <t>小5</t>
        </is>
      </c>
      <c r="E141" s="42" t="inlineStr">
        <is>
          <t>映像授業</t>
        </is>
      </c>
      <c r="F141" s="28">
        <f>IFERROR(INDEX(TankaData[1コマ単価],MATCH(E141,TankaData[コース],0)),0)</f>
        <v/>
      </c>
      <c r="G141" s="43" t="n">
        <v>3</v>
      </c>
      <c r="H141" s="29">
        <f>G141*4</f>
        <v/>
      </c>
      <c r="I141" s="28">
        <f>IFERROR(INDEX(TankaData[教材費(標準)],MATCH(E141,TankaData[コース],0)),0)</f>
        <v/>
      </c>
      <c r="J141" s="28">
        <f>F141*H141</f>
        <v/>
      </c>
      <c r="K141" s="28">
        <f>J141+I141+ROUND((J141+I141)*0.1,0)</f>
        <v/>
      </c>
      <c r="L141" t="inlineStr">
        <is>
          <t>seito138@example.com</t>
        </is>
      </c>
      <c r="M141" s="44" t="inlineStr">
        <is>
          <t>📧 Gmailを開く</t>
        </is>
      </c>
      <c r="N141" s="45">
        <f>"教室："&amp;C141&amp;"／コース："&amp;E141&amp;"／コマ数："&amp;H141&amp;"コマ／授業料："&amp;TEXT(J141,"#,##0")&amp;"円／教材費："&amp;TEXT(I141,"#,##0")&amp;"円／消費税："&amp;TEXT(ROUND((J141+I141)*0.1,0),"#,##0")&amp;"円／請求額："&amp;TEXT(K141,"#,##0")&amp;"円"</f>
        <v/>
      </c>
      <c r="O141">
        <f>A141&amp;"："&amp;B141</f>
        <v/>
      </c>
    </row>
    <row r="142">
      <c r="A142" s="42">
        <f>ROW()-3</f>
        <v/>
      </c>
      <c r="B142" t="inlineStr">
        <is>
          <t>森花音</t>
        </is>
      </c>
      <c r="C142" s="42" t="inlineStr">
        <is>
          <t>西校</t>
        </is>
      </c>
      <c r="D142" s="42" t="inlineStr">
        <is>
          <t>高1</t>
        </is>
      </c>
      <c r="E142" s="42" t="inlineStr">
        <is>
          <t>集団授業</t>
        </is>
      </c>
      <c r="F142" s="28">
        <f>IFERROR(INDEX(TankaData[1コマ単価],MATCH(E142,TankaData[コース],0)),0)</f>
        <v/>
      </c>
      <c r="G142" s="43" t="n">
        <v>3</v>
      </c>
      <c r="H142" s="29">
        <f>G142*4</f>
        <v/>
      </c>
      <c r="I142" s="28">
        <f>IFERROR(INDEX(TankaData[教材費(標準)],MATCH(E142,TankaData[コース],0)),0)</f>
        <v/>
      </c>
      <c r="J142" s="28">
        <f>F142*H142</f>
        <v/>
      </c>
      <c r="K142" s="28">
        <f>J142+I142+ROUND((J142+I142)*0.1,0)</f>
        <v/>
      </c>
      <c r="L142" t="inlineStr">
        <is>
          <t>seito139@example.com</t>
        </is>
      </c>
      <c r="M142" s="44" t="inlineStr">
        <is>
          <t>📧 Gmailを開く</t>
        </is>
      </c>
      <c r="N142" s="45">
        <f>"教室："&amp;C142&amp;"／コース："&amp;E142&amp;"／コマ数："&amp;H142&amp;"コマ／授業料："&amp;TEXT(J142,"#,##0")&amp;"円／教材費："&amp;TEXT(I142,"#,##0")&amp;"円／消費税："&amp;TEXT(ROUND((J142+I142)*0.1,0),"#,##0")&amp;"円／請求額："&amp;TEXT(K142,"#,##0")&amp;"円"</f>
        <v/>
      </c>
      <c r="O142">
        <f>A142&amp;"："&amp;B142</f>
        <v/>
      </c>
    </row>
    <row r="143">
      <c r="A143" s="42">
        <f>ROW()-3</f>
        <v/>
      </c>
      <c r="B143" t="inlineStr">
        <is>
          <t>太田優奈</t>
        </is>
      </c>
      <c r="C143" s="42" t="inlineStr">
        <is>
          <t>西校</t>
        </is>
      </c>
      <c r="D143" s="42" t="inlineStr">
        <is>
          <t>小5</t>
        </is>
      </c>
      <c r="E143" s="42" t="inlineStr">
        <is>
          <t>個別指導</t>
        </is>
      </c>
      <c r="F143" s="28">
        <f>IFERROR(INDEX(TankaData[1コマ単価],MATCH(E143,TankaData[コース],0)),0)</f>
        <v/>
      </c>
      <c r="G143" s="43" t="n">
        <v>3</v>
      </c>
      <c r="H143" s="29">
        <f>G143*4</f>
        <v/>
      </c>
      <c r="I143" s="28">
        <f>IFERROR(INDEX(TankaData[教材費(標準)],MATCH(E143,TankaData[コース],0)),0)</f>
        <v/>
      </c>
      <c r="J143" s="28">
        <f>F143*H143</f>
        <v/>
      </c>
      <c r="K143" s="28">
        <f>J143+I143+ROUND((J143+I143)*0.1,0)</f>
        <v/>
      </c>
      <c r="L143" t="inlineStr">
        <is>
          <t>seito140@example.com</t>
        </is>
      </c>
      <c r="M143" s="44" t="inlineStr">
        <is>
          <t>📧 Gmailを開く</t>
        </is>
      </c>
      <c r="N143" s="45">
        <f>"教室："&amp;C143&amp;"／コース："&amp;E143&amp;"／コマ数："&amp;H143&amp;"コマ／授業料："&amp;TEXT(J143,"#,##0")&amp;"円／教材費："&amp;TEXT(I143,"#,##0")&amp;"円／消費税："&amp;TEXT(ROUND((J143+I143)*0.1,0),"#,##0")&amp;"円／請求額："&amp;TEXT(K143,"#,##0")&amp;"円"</f>
        <v/>
      </c>
      <c r="O143">
        <f>A143&amp;"："&amp;B143</f>
        <v/>
      </c>
    </row>
    <row r="144">
      <c r="A144" s="42">
        <f>ROW()-3</f>
        <v/>
      </c>
      <c r="B144" t="inlineStr">
        <is>
          <t>山本美月</t>
        </is>
      </c>
      <c r="C144" s="42" t="inlineStr">
        <is>
          <t>西校</t>
        </is>
      </c>
      <c r="D144" s="42" t="inlineStr">
        <is>
          <t>高1</t>
        </is>
      </c>
      <c r="E144" s="42" t="inlineStr">
        <is>
          <t>映像授業</t>
        </is>
      </c>
      <c r="F144" s="28">
        <f>IFERROR(INDEX(TankaData[1コマ単価],MATCH(E144,TankaData[コース],0)),0)</f>
        <v/>
      </c>
      <c r="G144" s="43" t="n">
        <v>3</v>
      </c>
      <c r="H144" s="29">
        <f>G144*4</f>
        <v/>
      </c>
      <c r="I144" s="28">
        <f>IFERROR(INDEX(TankaData[教材費(標準)],MATCH(E144,TankaData[コース],0)),0)</f>
        <v/>
      </c>
      <c r="J144" s="28">
        <f>F144*H144</f>
        <v/>
      </c>
      <c r="K144" s="28">
        <f>J144+I144+ROUND((J144+I144)*0.1,0)</f>
        <v/>
      </c>
      <c r="L144" t="inlineStr">
        <is>
          <t>seito141@example.com</t>
        </is>
      </c>
      <c r="M144" s="44" t="inlineStr">
        <is>
          <t>📧 Gmailを開く</t>
        </is>
      </c>
      <c r="N144" s="45">
        <f>"教室："&amp;C144&amp;"／コース："&amp;E144&amp;"／コマ数："&amp;H144&amp;"コマ／授業料："&amp;TEXT(J144,"#,##0")&amp;"円／教材費："&amp;TEXT(I144,"#,##0")&amp;"円／消費税："&amp;TEXT(ROUND((J144+I144)*0.1,0),"#,##0")&amp;"円／請求額："&amp;TEXT(K144,"#,##0")&amp;"円"</f>
        <v/>
      </c>
      <c r="O144">
        <f>A144&amp;"："&amp;B144</f>
        <v/>
      </c>
    </row>
    <row r="145">
      <c r="A145" s="42">
        <f>ROW()-3</f>
        <v/>
      </c>
      <c r="B145" t="inlineStr">
        <is>
          <t>木村心春</t>
        </is>
      </c>
      <c r="C145" s="42" t="inlineStr">
        <is>
          <t>西校</t>
        </is>
      </c>
      <c r="D145" s="42" t="inlineStr">
        <is>
          <t>高1</t>
        </is>
      </c>
      <c r="E145" s="42" t="inlineStr">
        <is>
          <t>個別指導S</t>
        </is>
      </c>
      <c r="F145" s="28">
        <f>IFERROR(INDEX(TankaData[1コマ単価],MATCH(E145,TankaData[コース],0)),0)</f>
        <v/>
      </c>
      <c r="G145" s="43" t="n">
        <v>4</v>
      </c>
      <c r="H145" s="29">
        <f>G145*4</f>
        <v/>
      </c>
      <c r="I145" s="28">
        <f>IFERROR(INDEX(TankaData[教材費(標準)],MATCH(E145,TankaData[コース],0)),0)</f>
        <v/>
      </c>
      <c r="J145" s="28">
        <f>F145*H145</f>
        <v/>
      </c>
      <c r="K145" s="28">
        <f>J145+I145+ROUND((J145+I145)*0.1,0)</f>
        <v/>
      </c>
      <c r="L145" t="inlineStr">
        <is>
          <t>seito142@example.com</t>
        </is>
      </c>
      <c r="M145" s="44" t="inlineStr">
        <is>
          <t>📧 Gmailを開く</t>
        </is>
      </c>
      <c r="N145" s="45">
        <f>"教室："&amp;C145&amp;"／コース："&amp;E145&amp;"／コマ数："&amp;H145&amp;"コマ／授業料："&amp;TEXT(J145,"#,##0")&amp;"円／教材費："&amp;TEXT(I145,"#,##0")&amp;"円／消費税："&amp;TEXT(ROUND((J145+I145)*0.1,0),"#,##0")&amp;"円／請求額："&amp;TEXT(K145,"#,##0")&amp;"円"</f>
        <v/>
      </c>
      <c r="O145">
        <f>A145&amp;"："&amp;B145</f>
        <v/>
      </c>
    </row>
    <row r="146">
      <c r="A146" s="42">
        <f>ROW()-3</f>
        <v/>
      </c>
      <c r="B146" t="inlineStr">
        <is>
          <t>山口朝陽</t>
        </is>
      </c>
      <c r="C146" s="42" t="inlineStr">
        <is>
          <t>西校</t>
        </is>
      </c>
      <c r="D146" s="42" t="inlineStr">
        <is>
          <t>小5</t>
        </is>
      </c>
      <c r="E146" s="42" t="inlineStr">
        <is>
          <t>集団授業</t>
        </is>
      </c>
      <c r="F146" s="28">
        <f>IFERROR(INDEX(TankaData[1コマ単価],MATCH(E146,TankaData[コース],0)),0)</f>
        <v/>
      </c>
      <c r="G146" s="43" t="n">
        <v>3</v>
      </c>
      <c r="H146" s="29">
        <f>G146*4</f>
        <v/>
      </c>
      <c r="I146" s="28">
        <f>IFERROR(INDEX(TankaData[教材費(標準)],MATCH(E146,TankaData[コース],0)),0)</f>
        <v/>
      </c>
      <c r="J146" s="28">
        <f>F146*H146</f>
        <v/>
      </c>
      <c r="K146" s="28">
        <f>J146+I146+ROUND((J146+I146)*0.1,0)</f>
        <v/>
      </c>
      <c r="L146" t="inlineStr">
        <is>
          <t>seito143@example.com</t>
        </is>
      </c>
      <c r="M146" s="44" t="inlineStr">
        <is>
          <t>📧 Gmailを開く</t>
        </is>
      </c>
      <c r="N146" s="45">
        <f>"教室："&amp;C146&amp;"／コース："&amp;E146&amp;"／コマ数："&amp;H146&amp;"コマ／授業料："&amp;TEXT(J146,"#,##0")&amp;"円／教材費："&amp;TEXT(I146,"#,##0")&amp;"円／消費税："&amp;TEXT(ROUND((J146+I146)*0.1,0),"#,##0")&amp;"円／請求額："&amp;TEXT(K146,"#,##0")&amp;"円"</f>
        <v/>
      </c>
      <c r="O146">
        <f>A146&amp;"："&amp;B146</f>
        <v/>
      </c>
    </row>
    <row r="147">
      <c r="A147" s="42">
        <f>ROW()-3</f>
        <v/>
      </c>
      <c r="B147" t="inlineStr">
        <is>
          <t>伊藤楓</t>
        </is>
      </c>
      <c r="C147" s="42" t="inlineStr">
        <is>
          <t>西校</t>
        </is>
      </c>
      <c r="D147" s="42" t="inlineStr">
        <is>
          <t>中3</t>
        </is>
      </c>
      <c r="E147" s="42" t="inlineStr">
        <is>
          <t>個別指導S</t>
        </is>
      </c>
      <c r="F147" s="28">
        <f>IFERROR(INDEX(TankaData[1コマ単価],MATCH(E147,TankaData[コース],0)),0)</f>
        <v/>
      </c>
      <c r="G147" s="43" t="n">
        <v>4</v>
      </c>
      <c r="H147" s="29">
        <f>G147*4</f>
        <v/>
      </c>
      <c r="I147" s="28">
        <f>IFERROR(INDEX(TankaData[教材費(標準)],MATCH(E147,TankaData[コース],0)),0)</f>
        <v/>
      </c>
      <c r="J147" s="28">
        <f>F147*H147</f>
        <v/>
      </c>
      <c r="K147" s="28">
        <f>J147+I147+ROUND((J147+I147)*0.1,0)</f>
        <v/>
      </c>
      <c r="L147" t="inlineStr">
        <is>
          <t>seito144@example.com</t>
        </is>
      </c>
      <c r="M147" s="44" t="inlineStr">
        <is>
          <t>📧 Gmailを開く</t>
        </is>
      </c>
      <c r="N147" s="45">
        <f>"教室："&amp;C147&amp;"／コース："&amp;E147&amp;"／コマ数："&amp;H147&amp;"コマ／授業料："&amp;TEXT(J147,"#,##0")&amp;"円／教材費："&amp;TEXT(I147,"#,##0")&amp;"円／消費税："&amp;TEXT(ROUND((J147+I147)*0.1,0),"#,##0")&amp;"円／請求額："&amp;TEXT(K147,"#,##0")&amp;"円"</f>
        <v/>
      </c>
      <c r="O147">
        <f>A147&amp;"："&amp;B147</f>
        <v/>
      </c>
    </row>
    <row r="148">
      <c r="A148" s="42">
        <f>ROW()-3</f>
        <v/>
      </c>
      <c r="B148" t="inlineStr">
        <is>
          <t>斎藤一輝</t>
        </is>
      </c>
      <c r="C148" s="42" t="inlineStr">
        <is>
          <t>西校</t>
        </is>
      </c>
      <c r="D148" s="42" t="inlineStr">
        <is>
          <t>高3</t>
        </is>
      </c>
      <c r="E148" s="42" t="inlineStr">
        <is>
          <t>個別指導S</t>
        </is>
      </c>
      <c r="F148" s="28">
        <f>IFERROR(INDEX(TankaData[1コマ単価],MATCH(E148,TankaData[コース],0)),0)</f>
        <v/>
      </c>
      <c r="G148" s="43" t="n">
        <v>5</v>
      </c>
      <c r="H148" s="29">
        <f>G148*4</f>
        <v/>
      </c>
      <c r="I148" s="28">
        <f>IFERROR(INDEX(TankaData[教材費(標準)],MATCH(E148,TankaData[コース],0)),0)</f>
        <v/>
      </c>
      <c r="J148" s="28">
        <f>F148*H148</f>
        <v/>
      </c>
      <c r="K148" s="28">
        <f>J148+I148+ROUND((J148+I148)*0.1,0)</f>
        <v/>
      </c>
      <c r="L148" t="inlineStr">
        <is>
          <t>seito145@example.com</t>
        </is>
      </c>
      <c r="M148" s="44" t="inlineStr">
        <is>
          <t>📧 Gmailを開く</t>
        </is>
      </c>
      <c r="N148" s="45">
        <f>"教室："&amp;C148&amp;"／コース："&amp;E148&amp;"／コマ数："&amp;H148&amp;"コマ／授業料："&amp;TEXT(J148,"#,##0")&amp;"円／教材費："&amp;TEXT(I148,"#,##0")&amp;"円／消費税："&amp;TEXT(ROUND((J148+I148)*0.1,0),"#,##0")&amp;"円／請求額："&amp;TEXT(K148,"#,##0")&amp;"円"</f>
        <v/>
      </c>
      <c r="O148">
        <f>A148&amp;"："&amp;B148</f>
        <v/>
      </c>
    </row>
    <row r="149">
      <c r="A149" s="42">
        <f>ROW()-3</f>
        <v/>
      </c>
      <c r="B149" t="inlineStr">
        <is>
          <t>遠藤大和</t>
        </is>
      </c>
      <c r="C149" s="42" t="inlineStr">
        <is>
          <t>西校</t>
        </is>
      </c>
      <c r="D149" s="42" t="inlineStr">
        <is>
          <t>高2</t>
        </is>
      </c>
      <c r="E149" s="42" t="inlineStr">
        <is>
          <t>映像授業</t>
        </is>
      </c>
      <c r="F149" s="28">
        <f>IFERROR(INDEX(TankaData[1コマ単価],MATCH(E149,TankaData[コース],0)),0)</f>
        <v/>
      </c>
      <c r="G149" s="43" t="n">
        <v>1</v>
      </c>
      <c r="H149" s="29">
        <f>G149*4</f>
        <v/>
      </c>
      <c r="I149" s="28">
        <f>IFERROR(INDEX(TankaData[教材費(標準)],MATCH(E149,TankaData[コース],0)),0)</f>
        <v/>
      </c>
      <c r="J149" s="28">
        <f>F149*H149</f>
        <v/>
      </c>
      <c r="K149" s="28">
        <f>J149+I149+ROUND((J149+I149)*0.1,0)</f>
        <v/>
      </c>
      <c r="L149" t="inlineStr">
        <is>
          <t>seito146@example.com</t>
        </is>
      </c>
      <c r="M149" s="44" t="inlineStr">
        <is>
          <t>📧 Gmailを開く</t>
        </is>
      </c>
      <c r="N149" s="45">
        <f>"教室："&amp;C149&amp;"／コース："&amp;E149&amp;"／コマ数："&amp;H149&amp;"コマ／授業料："&amp;TEXT(J149,"#,##0")&amp;"円／教材費："&amp;TEXT(I149,"#,##0")&amp;"円／消費税："&amp;TEXT(ROUND((J149+I149)*0.1,0),"#,##0")&amp;"円／請求額："&amp;TEXT(K149,"#,##0")&amp;"円"</f>
        <v/>
      </c>
      <c r="O149">
        <f>A149&amp;"："&amp;B149</f>
        <v/>
      </c>
    </row>
    <row r="150">
      <c r="A150" s="42">
        <f>ROW()-3</f>
        <v/>
      </c>
      <c r="B150" t="inlineStr">
        <is>
          <t>金子心春</t>
        </is>
      </c>
      <c r="C150" s="42" t="inlineStr">
        <is>
          <t>西校</t>
        </is>
      </c>
      <c r="D150" s="42" t="inlineStr">
        <is>
          <t>中1</t>
        </is>
      </c>
      <c r="E150" s="42" t="inlineStr">
        <is>
          <t>集団授業</t>
        </is>
      </c>
      <c r="F150" s="28">
        <f>IFERROR(INDEX(TankaData[1コマ単価],MATCH(E150,TankaData[コース],0)),0)</f>
        <v/>
      </c>
      <c r="G150" s="43" t="n">
        <v>5</v>
      </c>
      <c r="H150" s="29">
        <f>G150*4</f>
        <v/>
      </c>
      <c r="I150" s="28">
        <f>IFERROR(INDEX(TankaData[教材費(標準)],MATCH(E150,TankaData[コース],0)),0)</f>
        <v/>
      </c>
      <c r="J150" s="28">
        <f>F150*H150</f>
        <v/>
      </c>
      <c r="K150" s="28">
        <f>J150+I150+ROUND((J150+I150)*0.1,0)</f>
        <v/>
      </c>
      <c r="L150" t="inlineStr">
        <is>
          <t>seito147@example.com</t>
        </is>
      </c>
      <c r="M150" s="44" t="inlineStr">
        <is>
          <t>📧 Gmailを開く</t>
        </is>
      </c>
      <c r="N150" s="45">
        <f>"教室："&amp;C150&amp;"／コース："&amp;E150&amp;"／コマ数："&amp;H150&amp;"コマ／授業料："&amp;TEXT(J150,"#,##0")&amp;"円／教材費："&amp;TEXT(I150,"#,##0")&amp;"円／消費税："&amp;TEXT(ROUND((J150+I150)*0.1,0),"#,##0")&amp;"円／請求額："&amp;TEXT(K150,"#,##0")&amp;"円"</f>
        <v/>
      </c>
      <c r="O150">
        <f>A150&amp;"："&amp;B150</f>
        <v/>
      </c>
    </row>
    <row r="151">
      <c r="A151" s="42">
        <f>ROW()-3</f>
        <v/>
      </c>
      <c r="B151" t="inlineStr">
        <is>
          <t>田中美桜</t>
        </is>
      </c>
      <c r="C151" s="42" t="inlineStr">
        <is>
          <t>西校</t>
        </is>
      </c>
      <c r="D151" s="42" t="inlineStr">
        <is>
          <t>高2</t>
        </is>
      </c>
      <c r="E151" s="42" t="inlineStr">
        <is>
          <t>映像授業</t>
        </is>
      </c>
      <c r="F151" s="28">
        <f>IFERROR(INDEX(TankaData[1コマ単価],MATCH(E151,TankaData[コース],0)),0)</f>
        <v/>
      </c>
      <c r="G151" s="43" t="n">
        <v>1</v>
      </c>
      <c r="H151" s="29">
        <f>G151*4</f>
        <v/>
      </c>
      <c r="I151" s="28">
        <f>IFERROR(INDEX(TankaData[教材費(標準)],MATCH(E151,TankaData[コース],0)),0)</f>
        <v/>
      </c>
      <c r="J151" s="28">
        <f>F151*H151</f>
        <v/>
      </c>
      <c r="K151" s="28">
        <f>J151+I151+ROUND((J151+I151)*0.1,0)</f>
        <v/>
      </c>
      <c r="L151" t="inlineStr">
        <is>
          <t>seito148@example.com</t>
        </is>
      </c>
      <c r="M151" s="44" t="inlineStr">
        <is>
          <t>📧 Gmailを開く</t>
        </is>
      </c>
      <c r="N151" s="45">
        <f>"教室："&amp;C151&amp;"／コース："&amp;E151&amp;"／コマ数："&amp;H151&amp;"コマ／授業料："&amp;TEXT(J151,"#,##0")&amp;"円／教材費："&amp;TEXT(I151,"#,##0")&amp;"円／消費税："&amp;TEXT(ROUND((J151+I151)*0.1,0),"#,##0")&amp;"円／請求額："&amp;TEXT(K151,"#,##0")&amp;"円"</f>
        <v/>
      </c>
      <c r="O151">
        <f>A151&amp;"："&amp;B151</f>
        <v/>
      </c>
    </row>
    <row r="152">
      <c r="A152" s="42">
        <f>ROW()-3</f>
        <v/>
      </c>
      <c r="B152" t="inlineStr">
        <is>
          <t>小野湊</t>
        </is>
      </c>
      <c r="C152" s="42" t="inlineStr">
        <is>
          <t>西校</t>
        </is>
      </c>
      <c r="D152" s="42" t="inlineStr">
        <is>
          <t>中1</t>
        </is>
      </c>
      <c r="E152" s="42" t="inlineStr">
        <is>
          <t>集団授業</t>
        </is>
      </c>
      <c r="F152" s="28">
        <f>IFERROR(INDEX(TankaData[1コマ単価],MATCH(E152,TankaData[コース],0)),0)</f>
        <v/>
      </c>
      <c r="G152" s="43" t="n">
        <v>5</v>
      </c>
      <c r="H152" s="29">
        <f>G152*4</f>
        <v/>
      </c>
      <c r="I152" s="28">
        <f>IFERROR(INDEX(TankaData[教材費(標準)],MATCH(E152,TankaData[コース],0)),0)</f>
        <v/>
      </c>
      <c r="J152" s="28">
        <f>F152*H152</f>
        <v/>
      </c>
      <c r="K152" s="28">
        <f>J152+I152+ROUND((J152+I152)*0.1,0)</f>
        <v/>
      </c>
      <c r="L152" t="inlineStr">
        <is>
          <t>seito149@example.com</t>
        </is>
      </c>
      <c r="M152" s="44" t="inlineStr">
        <is>
          <t>📧 Gmailを開く</t>
        </is>
      </c>
      <c r="N152" s="45">
        <f>"教室："&amp;C152&amp;"／コース："&amp;E152&amp;"／コマ数："&amp;H152&amp;"コマ／授業料："&amp;TEXT(J152,"#,##0")&amp;"円／教材費："&amp;TEXT(I152,"#,##0")&amp;"円／消費税："&amp;TEXT(ROUND((J152+I152)*0.1,0),"#,##0")&amp;"円／請求額："&amp;TEXT(K152,"#,##0")&amp;"円"</f>
        <v/>
      </c>
      <c r="O152">
        <f>A152&amp;"："&amp;B152</f>
        <v/>
      </c>
    </row>
    <row r="153">
      <c r="A153" s="42">
        <f>ROW()-3</f>
        <v/>
      </c>
      <c r="B153" t="inlineStr">
        <is>
          <t>石井琴音</t>
        </is>
      </c>
      <c r="C153" s="42" t="inlineStr">
        <is>
          <t>西校</t>
        </is>
      </c>
      <c r="D153" s="42" t="inlineStr">
        <is>
          <t>小6</t>
        </is>
      </c>
      <c r="E153" s="42" t="inlineStr">
        <is>
          <t>集団授業</t>
        </is>
      </c>
      <c r="F153" s="28">
        <f>IFERROR(INDEX(TankaData[1コマ単価],MATCH(E153,TankaData[コース],0)),0)</f>
        <v/>
      </c>
      <c r="G153" s="43" t="n">
        <v>4</v>
      </c>
      <c r="H153" s="29">
        <f>G153*4</f>
        <v/>
      </c>
      <c r="I153" s="28">
        <f>IFERROR(INDEX(TankaData[教材費(標準)],MATCH(E153,TankaData[コース],0)),0)</f>
        <v/>
      </c>
      <c r="J153" s="28">
        <f>F153*H153</f>
        <v/>
      </c>
      <c r="K153" s="28">
        <f>J153+I153+ROUND((J153+I153)*0.1,0)</f>
        <v/>
      </c>
      <c r="L153" t="inlineStr">
        <is>
          <t>seito150@example.com</t>
        </is>
      </c>
      <c r="M153" s="44" t="inlineStr">
        <is>
          <t>📧 Gmailを開く</t>
        </is>
      </c>
      <c r="N153" s="45">
        <f>"教室："&amp;C153&amp;"／コース："&amp;E153&amp;"／コマ数："&amp;H153&amp;"コマ／授業料："&amp;TEXT(J153,"#,##0")&amp;"円／教材費："&amp;TEXT(I153,"#,##0")&amp;"円／消費税："&amp;TEXT(ROUND((J153+I153)*0.1,0),"#,##0")&amp;"円／請求額："&amp;TEXT(K153,"#,##0")&amp;"円"</f>
        <v/>
      </c>
      <c r="O153">
        <f>A153&amp;"："&amp;B153</f>
        <v/>
      </c>
    </row>
    <row r="154">
      <c r="A154" s="42">
        <f>ROW()-3</f>
        <v/>
      </c>
      <c r="B154" t="inlineStr">
        <is>
          <t>近藤大翔</t>
        </is>
      </c>
      <c r="C154" s="42" t="inlineStr">
        <is>
          <t>西校</t>
        </is>
      </c>
      <c r="D154" s="42" t="inlineStr">
        <is>
          <t>高2</t>
        </is>
      </c>
      <c r="E154" s="42" t="inlineStr">
        <is>
          <t>個別指導S</t>
        </is>
      </c>
      <c r="F154" s="28">
        <f>IFERROR(INDEX(TankaData[1コマ単価],MATCH(E154,TankaData[コース],0)),0)</f>
        <v/>
      </c>
      <c r="G154" s="43" t="n">
        <v>1</v>
      </c>
      <c r="H154" s="29">
        <f>G154*4</f>
        <v/>
      </c>
      <c r="I154" s="28">
        <f>IFERROR(INDEX(TankaData[教材費(標準)],MATCH(E154,TankaData[コース],0)),0)</f>
        <v/>
      </c>
      <c r="J154" s="28">
        <f>F154*H154</f>
        <v/>
      </c>
      <c r="K154" s="28">
        <f>J154+I154+ROUND((J154+I154)*0.1,0)</f>
        <v/>
      </c>
      <c r="L154" t="inlineStr">
        <is>
          <t>seito151@example.com</t>
        </is>
      </c>
      <c r="M154" s="44" t="inlineStr">
        <is>
          <t>📧 Gmailを開く</t>
        </is>
      </c>
      <c r="N154" s="45">
        <f>"教室："&amp;C154&amp;"／コース："&amp;E154&amp;"／コマ数："&amp;H154&amp;"コマ／授業料："&amp;TEXT(J154,"#,##0")&amp;"円／教材費："&amp;TEXT(I154,"#,##0")&amp;"円／消費税："&amp;TEXT(ROUND((J154+I154)*0.1,0),"#,##0")&amp;"円／請求額："&amp;TEXT(K154,"#,##0")&amp;"円"</f>
        <v/>
      </c>
      <c r="O154">
        <f>A154&amp;"："&amp;B154</f>
        <v/>
      </c>
    </row>
    <row r="155">
      <c r="A155" s="42">
        <f>ROW()-3</f>
        <v/>
      </c>
      <c r="B155" t="inlineStr">
        <is>
          <t>佐藤悠真</t>
        </is>
      </c>
      <c r="C155" s="42" t="inlineStr">
        <is>
          <t>西校</t>
        </is>
      </c>
      <c r="D155" s="42" t="inlineStr">
        <is>
          <t>中1</t>
        </is>
      </c>
      <c r="E155" s="42" t="inlineStr">
        <is>
          <t>個別指導</t>
        </is>
      </c>
      <c r="F155" s="28">
        <f>IFERROR(INDEX(TankaData[1コマ単価],MATCH(E155,TankaData[コース],0)),0)</f>
        <v/>
      </c>
      <c r="G155" s="43" t="n">
        <v>3</v>
      </c>
      <c r="H155" s="29">
        <f>G155*4</f>
        <v/>
      </c>
      <c r="I155" s="28">
        <f>IFERROR(INDEX(TankaData[教材費(標準)],MATCH(E155,TankaData[コース],0)),0)</f>
        <v/>
      </c>
      <c r="J155" s="28">
        <f>F155*H155</f>
        <v/>
      </c>
      <c r="K155" s="28">
        <f>J155+I155+ROUND((J155+I155)*0.1,0)</f>
        <v/>
      </c>
      <c r="L155" t="inlineStr">
        <is>
          <t>seito152@example.com</t>
        </is>
      </c>
      <c r="M155" s="44" t="inlineStr">
        <is>
          <t>📧 Gmailを開く</t>
        </is>
      </c>
      <c r="N155" s="45">
        <f>"教室："&amp;C155&amp;"／コース："&amp;E155&amp;"／コマ数："&amp;H155&amp;"コマ／授業料："&amp;TEXT(J155,"#,##0")&amp;"円／教材費："&amp;TEXT(I155,"#,##0")&amp;"円／消費税："&amp;TEXT(ROUND((J155+I155)*0.1,0),"#,##0")&amp;"円／請求額："&amp;TEXT(K155,"#,##0")&amp;"円"</f>
        <v/>
      </c>
      <c r="O155">
        <f>A155&amp;"："&amp;B155</f>
        <v/>
      </c>
    </row>
    <row r="156">
      <c r="A156" s="42">
        <f>ROW()-3</f>
        <v/>
      </c>
      <c r="B156" t="inlineStr">
        <is>
          <t>長谷川美月</t>
        </is>
      </c>
      <c r="C156" s="42" t="inlineStr">
        <is>
          <t>西校</t>
        </is>
      </c>
      <c r="D156" s="42" t="inlineStr">
        <is>
          <t>高3</t>
        </is>
      </c>
      <c r="E156" s="42" t="inlineStr">
        <is>
          <t>個別指導S</t>
        </is>
      </c>
      <c r="F156" s="28">
        <f>IFERROR(INDEX(TankaData[1コマ単価],MATCH(E156,TankaData[コース],0)),0)</f>
        <v/>
      </c>
      <c r="G156" s="43" t="n">
        <v>5</v>
      </c>
      <c r="H156" s="29">
        <f>G156*4</f>
        <v/>
      </c>
      <c r="I156" s="28">
        <f>IFERROR(INDEX(TankaData[教材費(標準)],MATCH(E156,TankaData[コース],0)),0)</f>
        <v/>
      </c>
      <c r="J156" s="28">
        <f>F156*H156</f>
        <v/>
      </c>
      <c r="K156" s="28">
        <f>J156+I156+ROUND((J156+I156)*0.1,0)</f>
        <v/>
      </c>
      <c r="L156" t="inlineStr">
        <is>
          <t>seito153@example.com</t>
        </is>
      </c>
      <c r="M156" s="44" t="inlineStr">
        <is>
          <t>📧 Gmailを開く</t>
        </is>
      </c>
      <c r="N156" s="45">
        <f>"教室："&amp;C156&amp;"／コース："&amp;E156&amp;"／コマ数："&amp;H156&amp;"コマ／授業料："&amp;TEXT(J156,"#,##0")&amp;"円／教材費："&amp;TEXT(I156,"#,##0")&amp;"円／消費税："&amp;TEXT(ROUND((J156+I156)*0.1,0),"#,##0")&amp;"円／請求額："&amp;TEXT(K156,"#,##0")&amp;"円"</f>
        <v/>
      </c>
      <c r="O156">
        <f>A156&amp;"："&amp;B156</f>
        <v/>
      </c>
    </row>
    <row r="157">
      <c r="A157" s="42">
        <f>ROW()-3</f>
        <v/>
      </c>
      <c r="B157" t="inlineStr">
        <is>
          <t>近藤拓也</t>
        </is>
      </c>
      <c r="C157" s="42" t="inlineStr">
        <is>
          <t>西校</t>
        </is>
      </c>
      <c r="D157" s="42" t="inlineStr">
        <is>
          <t>高1</t>
        </is>
      </c>
      <c r="E157" s="42" t="inlineStr">
        <is>
          <t>個別指導S</t>
        </is>
      </c>
      <c r="F157" s="28">
        <f>IFERROR(INDEX(TankaData[1コマ単価],MATCH(E157,TankaData[コース],0)),0)</f>
        <v/>
      </c>
      <c r="G157" s="43" t="n">
        <v>2</v>
      </c>
      <c r="H157" s="29">
        <f>G157*4</f>
        <v/>
      </c>
      <c r="I157" s="28">
        <f>IFERROR(INDEX(TankaData[教材費(標準)],MATCH(E157,TankaData[コース],0)),0)</f>
        <v/>
      </c>
      <c r="J157" s="28">
        <f>F157*H157</f>
        <v/>
      </c>
      <c r="K157" s="28">
        <f>J157+I157+ROUND((J157+I157)*0.1,0)</f>
        <v/>
      </c>
      <c r="L157" t="inlineStr">
        <is>
          <t>seito154@example.com</t>
        </is>
      </c>
      <c r="M157" s="44" t="inlineStr">
        <is>
          <t>📧 Gmailを開く</t>
        </is>
      </c>
      <c r="N157" s="45">
        <f>"教室："&amp;C157&amp;"／コース："&amp;E157&amp;"／コマ数："&amp;H157&amp;"コマ／授業料："&amp;TEXT(J157,"#,##0")&amp;"円／教材費："&amp;TEXT(I157,"#,##0")&amp;"円／消費税："&amp;TEXT(ROUND((J157+I157)*0.1,0),"#,##0")&amp;"円／請求額："&amp;TEXT(K157,"#,##0")&amp;"円"</f>
        <v/>
      </c>
      <c r="O157">
        <f>A157&amp;"："&amp;B157</f>
        <v/>
      </c>
    </row>
    <row r="158">
      <c r="A158" s="42">
        <f>ROW()-3</f>
        <v/>
      </c>
      <c r="B158" t="inlineStr">
        <is>
          <t>中村駿</t>
        </is>
      </c>
      <c r="C158" s="42" t="inlineStr">
        <is>
          <t>西校</t>
        </is>
      </c>
      <c r="D158" s="42" t="inlineStr">
        <is>
          <t>小5</t>
        </is>
      </c>
      <c r="E158" s="42" t="inlineStr">
        <is>
          <t>映像授業</t>
        </is>
      </c>
      <c r="F158" s="28">
        <f>IFERROR(INDEX(TankaData[1コマ単価],MATCH(E158,TankaData[コース],0)),0)</f>
        <v/>
      </c>
      <c r="G158" s="43" t="n">
        <v>1</v>
      </c>
      <c r="H158" s="29">
        <f>G158*4</f>
        <v/>
      </c>
      <c r="I158" s="28">
        <f>IFERROR(INDEX(TankaData[教材費(標準)],MATCH(E158,TankaData[コース],0)),0)</f>
        <v/>
      </c>
      <c r="J158" s="28">
        <f>F158*H158</f>
        <v/>
      </c>
      <c r="K158" s="28">
        <f>J158+I158+ROUND((J158+I158)*0.1,0)</f>
        <v/>
      </c>
      <c r="L158" t="inlineStr">
        <is>
          <t>seito155@example.com</t>
        </is>
      </c>
      <c r="M158" s="44" t="inlineStr">
        <is>
          <t>📧 Gmailを開く</t>
        </is>
      </c>
      <c r="N158" s="45">
        <f>"教室："&amp;C158&amp;"／コース："&amp;E158&amp;"／コマ数："&amp;H158&amp;"コマ／授業料："&amp;TEXT(J158,"#,##0")&amp;"円／教材費："&amp;TEXT(I158,"#,##0")&amp;"円／消費税："&amp;TEXT(ROUND((J158+I158)*0.1,0),"#,##0")&amp;"円／請求額："&amp;TEXT(K158,"#,##0")&amp;"円"</f>
        <v/>
      </c>
      <c r="O158">
        <f>A158&amp;"："&amp;B158</f>
        <v/>
      </c>
    </row>
    <row r="159">
      <c r="A159" s="42">
        <f>ROW()-3</f>
        <v/>
      </c>
      <c r="B159" t="inlineStr">
        <is>
          <t>伊藤煌</t>
        </is>
      </c>
      <c r="C159" s="42" t="inlineStr">
        <is>
          <t>西校</t>
        </is>
      </c>
      <c r="D159" s="42" t="inlineStr">
        <is>
          <t>小6</t>
        </is>
      </c>
      <c r="E159" s="42" t="inlineStr">
        <is>
          <t>映像授業</t>
        </is>
      </c>
      <c r="F159" s="28">
        <f>IFERROR(INDEX(TankaData[1コマ単価],MATCH(E159,TankaData[コース],0)),0)</f>
        <v/>
      </c>
      <c r="G159" s="43" t="n">
        <v>3</v>
      </c>
      <c r="H159" s="29">
        <f>G159*4</f>
        <v/>
      </c>
      <c r="I159" s="28">
        <f>IFERROR(INDEX(TankaData[教材費(標準)],MATCH(E159,TankaData[コース],0)),0)</f>
        <v/>
      </c>
      <c r="J159" s="28">
        <f>F159*H159</f>
        <v/>
      </c>
      <c r="K159" s="28">
        <f>J159+I159+ROUND((J159+I159)*0.1,0)</f>
        <v/>
      </c>
      <c r="L159" t="inlineStr">
        <is>
          <t>seito156@example.com</t>
        </is>
      </c>
      <c r="M159" s="44" t="inlineStr">
        <is>
          <t>📧 Gmailを開く</t>
        </is>
      </c>
      <c r="N159" s="45">
        <f>"教室："&amp;C159&amp;"／コース："&amp;E159&amp;"／コマ数："&amp;H159&amp;"コマ／授業料："&amp;TEXT(J159,"#,##0")&amp;"円／教材費："&amp;TEXT(I159,"#,##0")&amp;"円／消費税："&amp;TEXT(ROUND((J159+I159)*0.1,0),"#,##0")&amp;"円／請求額："&amp;TEXT(K159,"#,##0")&amp;"円"</f>
        <v/>
      </c>
      <c r="O159">
        <f>A159&amp;"："&amp;B159</f>
        <v/>
      </c>
    </row>
    <row r="160">
      <c r="A160" s="42">
        <f>ROW()-3</f>
        <v/>
      </c>
      <c r="B160" t="inlineStr">
        <is>
          <t>金子美桜</t>
        </is>
      </c>
      <c r="C160" s="42" t="inlineStr">
        <is>
          <t>西校</t>
        </is>
      </c>
      <c r="D160" s="42" t="inlineStr">
        <is>
          <t>高3</t>
        </is>
      </c>
      <c r="E160" s="42" t="inlineStr">
        <is>
          <t>集団授業</t>
        </is>
      </c>
      <c r="F160" s="28">
        <f>IFERROR(INDEX(TankaData[1コマ単価],MATCH(E160,TankaData[コース],0)),0)</f>
        <v/>
      </c>
      <c r="G160" s="43" t="n">
        <v>4</v>
      </c>
      <c r="H160" s="29">
        <f>G160*4</f>
        <v/>
      </c>
      <c r="I160" s="28">
        <f>IFERROR(INDEX(TankaData[教材費(標準)],MATCH(E160,TankaData[コース],0)),0)</f>
        <v/>
      </c>
      <c r="J160" s="28">
        <f>F160*H160</f>
        <v/>
      </c>
      <c r="K160" s="28">
        <f>J160+I160+ROUND((J160+I160)*0.1,0)</f>
        <v/>
      </c>
      <c r="L160" t="inlineStr">
        <is>
          <t>seito157@example.com</t>
        </is>
      </c>
      <c r="M160" s="44" t="inlineStr">
        <is>
          <t>📧 Gmailを開く</t>
        </is>
      </c>
      <c r="N160" s="45">
        <f>"教室："&amp;C160&amp;"／コース："&amp;E160&amp;"／コマ数："&amp;H160&amp;"コマ／授業料："&amp;TEXT(J160,"#,##0")&amp;"円／教材費："&amp;TEXT(I160,"#,##0")&amp;"円／消費税："&amp;TEXT(ROUND((J160+I160)*0.1,0),"#,##0")&amp;"円／請求額："&amp;TEXT(K160,"#,##0")&amp;"円"</f>
        <v/>
      </c>
      <c r="O160">
        <f>A160&amp;"："&amp;B160</f>
        <v/>
      </c>
    </row>
    <row r="161">
      <c r="A161" s="42">
        <f>ROW()-3</f>
        <v/>
      </c>
      <c r="B161" t="inlineStr">
        <is>
          <t>池田彩花</t>
        </is>
      </c>
      <c r="C161" s="42" t="inlineStr">
        <is>
          <t>西校</t>
        </is>
      </c>
      <c r="D161" s="42" t="inlineStr">
        <is>
          <t>高2</t>
        </is>
      </c>
      <c r="E161" s="42" t="inlineStr">
        <is>
          <t>映像授業</t>
        </is>
      </c>
      <c r="F161" s="28">
        <f>IFERROR(INDEX(TankaData[1コマ単価],MATCH(E161,TankaData[コース],0)),0)</f>
        <v/>
      </c>
      <c r="G161" s="43" t="n">
        <v>2</v>
      </c>
      <c r="H161" s="29">
        <f>G161*4</f>
        <v/>
      </c>
      <c r="I161" s="28">
        <f>IFERROR(INDEX(TankaData[教材費(標準)],MATCH(E161,TankaData[コース],0)),0)</f>
        <v/>
      </c>
      <c r="J161" s="28">
        <f>F161*H161</f>
        <v/>
      </c>
      <c r="K161" s="28">
        <f>J161+I161+ROUND((J161+I161)*0.1,0)</f>
        <v/>
      </c>
      <c r="L161" t="inlineStr">
        <is>
          <t>seito158@example.com</t>
        </is>
      </c>
      <c r="M161" s="44" t="inlineStr">
        <is>
          <t>📧 Gmailを開く</t>
        </is>
      </c>
      <c r="N161" s="45">
        <f>"教室："&amp;C161&amp;"／コース："&amp;E161&amp;"／コマ数："&amp;H161&amp;"コマ／授業料："&amp;TEXT(J161,"#,##0")&amp;"円／教材費："&amp;TEXT(I161,"#,##0")&amp;"円／消費税："&amp;TEXT(ROUND((J161+I161)*0.1,0),"#,##0")&amp;"円／請求額："&amp;TEXT(K161,"#,##0")&amp;"円"</f>
        <v/>
      </c>
      <c r="O161">
        <f>A161&amp;"："&amp;B161</f>
        <v/>
      </c>
    </row>
    <row r="162">
      <c r="A162" s="42">
        <f>ROW()-3</f>
        <v/>
      </c>
      <c r="B162" t="inlineStr">
        <is>
          <t>岡本悠斗</t>
        </is>
      </c>
      <c r="C162" s="42" t="inlineStr">
        <is>
          <t>西校</t>
        </is>
      </c>
      <c r="D162" s="42" t="inlineStr">
        <is>
          <t>高2</t>
        </is>
      </c>
      <c r="E162" s="42" t="inlineStr">
        <is>
          <t>個別指導</t>
        </is>
      </c>
      <c r="F162" s="28">
        <f>IFERROR(INDEX(TankaData[1コマ単価],MATCH(E162,TankaData[コース],0)),0)</f>
        <v/>
      </c>
      <c r="G162" s="43" t="n">
        <v>4</v>
      </c>
      <c r="H162" s="29">
        <f>G162*4</f>
        <v/>
      </c>
      <c r="I162" s="28">
        <f>IFERROR(INDEX(TankaData[教材費(標準)],MATCH(E162,TankaData[コース],0)),0)</f>
        <v/>
      </c>
      <c r="J162" s="28">
        <f>F162*H162</f>
        <v/>
      </c>
      <c r="K162" s="28">
        <f>J162+I162+ROUND((J162+I162)*0.1,0)</f>
        <v/>
      </c>
      <c r="L162" t="inlineStr">
        <is>
          <t>seito159@example.com</t>
        </is>
      </c>
      <c r="M162" s="44" t="inlineStr">
        <is>
          <t>📧 Gmailを開く</t>
        </is>
      </c>
      <c r="N162" s="45">
        <f>"教室："&amp;C162&amp;"／コース："&amp;E162&amp;"／コマ数："&amp;H162&amp;"コマ／授業料："&amp;TEXT(J162,"#,##0")&amp;"円／教材費："&amp;TEXT(I162,"#,##0")&amp;"円／消費税："&amp;TEXT(ROUND((J162+I162)*0.1,0),"#,##0")&amp;"円／請求額："&amp;TEXT(K162,"#,##0")&amp;"円"</f>
        <v/>
      </c>
      <c r="O162">
        <f>A162&amp;"："&amp;B162</f>
        <v/>
      </c>
    </row>
    <row r="163">
      <c r="A163" s="42">
        <f>ROW()-3</f>
        <v/>
      </c>
      <c r="B163" t="inlineStr">
        <is>
          <t>加藤湊</t>
        </is>
      </c>
      <c r="C163" s="42" t="inlineStr">
        <is>
          <t>西校</t>
        </is>
      </c>
      <c r="D163" s="42" t="inlineStr">
        <is>
          <t>中1</t>
        </is>
      </c>
      <c r="E163" s="42" t="inlineStr">
        <is>
          <t>個別指導</t>
        </is>
      </c>
      <c r="F163" s="28">
        <f>IFERROR(INDEX(TankaData[1コマ単価],MATCH(E163,TankaData[コース],0)),0)</f>
        <v/>
      </c>
      <c r="G163" s="43" t="n">
        <v>1</v>
      </c>
      <c r="H163" s="29">
        <f>G163*4</f>
        <v/>
      </c>
      <c r="I163" s="28">
        <f>IFERROR(INDEX(TankaData[教材費(標準)],MATCH(E163,TankaData[コース],0)),0)</f>
        <v/>
      </c>
      <c r="J163" s="28">
        <f>F163*H163</f>
        <v/>
      </c>
      <c r="K163" s="28">
        <f>J163+I163+ROUND((J163+I163)*0.1,0)</f>
        <v/>
      </c>
      <c r="L163" t="inlineStr">
        <is>
          <t>seito160@example.com</t>
        </is>
      </c>
      <c r="M163" s="44" t="inlineStr">
        <is>
          <t>📧 Gmailを開く</t>
        </is>
      </c>
      <c r="N163" s="45">
        <f>"教室："&amp;C163&amp;"／コース："&amp;E163&amp;"／コマ数："&amp;H163&amp;"コマ／授業料："&amp;TEXT(J163,"#,##0")&amp;"円／教材費："&amp;TEXT(I163,"#,##0")&amp;"円／消費税："&amp;TEXT(ROUND((J163+I163)*0.1,0),"#,##0")&amp;"円／請求額："&amp;TEXT(K163,"#,##0")&amp;"円"</f>
        <v/>
      </c>
      <c r="O163">
        <f>A163&amp;"："&amp;B163</f>
        <v/>
      </c>
    </row>
    <row r="164">
      <c r="A164" s="42">
        <f>ROW()-3</f>
        <v/>
      </c>
      <c r="B164" t="inlineStr">
        <is>
          <t>松本結翔</t>
        </is>
      </c>
      <c r="C164" s="42" t="inlineStr">
        <is>
          <t>西校</t>
        </is>
      </c>
      <c r="D164" s="42" t="inlineStr">
        <is>
          <t>中2</t>
        </is>
      </c>
      <c r="E164" s="42" t="inlineStr">
        <is>
          <t>映像授業</t>
        </is>
      </c>
      <c r="F164" s="28">
        <f>IFERROR(INDEX(TankaData[1コマ単価],MATCH(E164,TankaData[コース],0)),0)</f>
        <v/>
      </c>
      <c r="G164" s="43" t="n">
        <v>3</v>
      </c>
      <c r="H164" s="29">
        <f>G164*4</f>
        <v/>
      </c>
      <c r="I164" s="28">
        <f>IFERROR(INDEX(TankaData[教材費(標準)],MATCH(E164,TankaData[コース],0)),0)</f>
        <v/>
      </c>
      <c r="J164" s="28">
        <f>F164*H164</f>
        <v/>
      </c>
      <c r="K164" s="28">
        <f>J164+I164+ROUND((J164+I164)*0.1,0)</f>
        <v/>
      </c>
      <c r="L164" t="inlineStr">
        <is>
          <t>seito161@example.com</t>
        </is>
      </c>
      <c r="M164" s="44" t="inlineStr">
        <is>
          <t>📧 Gmailを開く</t>
        </is>
      </c>
      <c r="N164" s="45">
        <f>"教室："&amp;C164&amp;"／コース："&amp;E164&amp;"／コマ数："&amp;H164&amp;"コマ／授業料："&amp;TEXT(J164,"#,##0")&amp;"円／教材費："&amp;TEXT(I164,"#,##0")&amp;"円／消費税："&amp;TEXT(ROUND((J164+I164)*0.1,0),"#,##0")&amp;"円／請求額："&amp;TEXT(K164,"#,##0")&amp;"円"</f>
        <v/>
      </c>
      <c r="O164">
        <f>A164&amp;"："&amp;B164</f>
        <v/>
      </c>
    </row>
    <row r="165">
      <c r="A165" s="42">
        <f>ROW()-3</f>
        <v/>
      </c>
      <c r="B165" t="inlineStr">
        <is>
          <t>山崎美咲</t>
        </is>
      </c>
      <c r="C165" s="42" t="inlineStr">
        <is>
          <t>西校</t>
        </is>
      </c>
      <c r="D165" s="42" t="inlineStr">
        <is>
          <t>高3</t>
        </is>
      </c>
      <c r="E165" s="42" t="inlineStr">
        <is>
          <t>集団授業</t>
        </is>
      </c>
      <c r="F165" s="28">
        <f>IFERROR(INDEX(TankaData[1コマ単価],MATCH(E165,TankaData[コース],0)),0)</f>
        <v/>
      </c>
      <c r="G165" s="43" t="n">
        <v>1</v>
      </c>
      <c r="H165" s="29">
        <f>G165*4</f>
        <v/>
      </c>
      <c r="I165" s="28">
        <f>IFERROR(INDEX(TankaData[教材費(標準)],MATCH(E165,TankaData[コース],0)),0)</f>
        <v/>
      </c>
      <c r="J165" s="28">
        <f>F165*H165</f>
        <v/>
      </c>
      <c r="K165" s="28">
        <f>J165+I165+ROUND((J165+I165)*0.1,0)</f>
        <v/>
      </c>
      <c r="L165" t="inlineStr">
        <is>
          <t>seito162@example.com</t>
        </is>
      </c>
      <c r="M165" s="44" t="inlineStr">
        <is>
          <t>📧 Gmailを開く</t>
        </is>
      </c>
      <c r="N165" s="45">
        <f>"教室："&amp;C165&amp;"／コース："&amp;E165&amp;"／コマ数："&amp;H165&amp;"コマ／授業料："&amp;TEXT(J165,"#,##0")&amp;"円／教材費："&amp;TEXT(I165,"#,##0")&amp;"円／消費税："&amp;TEXT(ROUND((J165+I165)*0.1,0),"#,##0")&amp;"円／請求額："&amp;TEXT(K165,"#,##0")&amp;"円"</f>
        <v/>
      </c>
      <c r="O165">
        <f>A165&amp;"："&amp;B165</f>
        <v/>
      </c>
    </row>
    <row r="166">
      <c r="A166" s="42">
        <f>ROW()-3</f>
        <v/>
      </c>
      <c r="B166" t="inlineStr">
        <is>
          <t>山口大翔</t>
        </is>
      </c>
      <c r="C166" s="42" t="inlineStr">
        <is>
          <t>西校</t>
        </is>
      </c>
      <c r="D166" s="42" t="inlineStr">
        <is>
          <t>中2</t>
        </is>
      </c>
      <c r="E166" s="42" t="inlineStr">
        <is>
          <t>集団授業</t>
        </is>
      </c>
      <c r="F166" s="28">
        <f>IFERROR(INDEX(TankaData[1コマ単価],MATCH(E166,TankaData[コース],0)),0)</f>
        <v/>
      </c>
      <c r="G166" s="43" t="n">
        <v>5</v>
      </c>
      <c r="H166" s="29">
        <f>G166*4</f>
        <v/>
      </c>
      <c r="I166" s="28">
        <f>IFERROR(INDEX(TankaData[教材費(標準)],MATCH(E166,TankaData[コース],0)),0)</f>
        <v/>
      </c>
      <c r="J166" s="28">
        <f>F166*H166</f>
        <v/>
      </c>
      <c r="K166" s="28">
        <f>J166+I166+ROUND((J166+I166)*0.1,0)</f>
        <v/>
      </c>
      <c r="L166" t="inlineStr">
        <is>
          <t>seito163@example.com</t>
        </is>
      </c>
      <c r="M166" s="44" t="inlineStr">
        <is>
          <t>📧 Gmailを開く</t>
        </is>
      </c>
      <c r="N166" s="45">
        <f>"教室："&amp;C166&amp;"／コース："&amp;E166&amp;"／コマ数："&amp;H166&amp;"コマ／授業料："&amp;TEXT(J166,"#,##0")&amp;"円／教材費："&amp;TEXT(I166,"#,##0")&amp;"円／消費税："&amp;TEXT(ROUND((J166+I166)*0.1,0),"#,##0")&amp;"円／請求額："&amp;TEXT(K166,"#,##0")&amp;"円"</f>
        <v/>
      </c>
      <c r="O166">
        <f>A166&amp;"："&amp;B166</f>
        <v/>
      </c>
    </row>
    <row r="167">
      <c r="A167" s="42">
        <f>ROW()-3</f>
        <v/>
      </c>
      <c r="B167" t="inlineStr">
        <is>
          <t>鈴木遥</t>
        </is>
      </c>
      <c r="C167" s="42" t="inlineStr">
        <is>
          <t>西校</t>
        </is>
      </c>
      <c r="D167" s="42" t="inlineStr">
        <is>
          <t>高2</t>
        </is>
      </c>
      <c r="E167" s="42" t="inlineStr">
        <is>
          <t>個別指導</t>
        </is>
      </c>
      <c r="F167" s="28">
        <f>IFERROR(INDEX(TankaData[1コマ単価],MATCH(E167,TankaData[コース],0)),0)</f>
        <v/>
      </c>
      <c r="G167" s="43" t="n">
        <v>4</v>
      </c>
      <c r="H167" s="29">
        <f>G167*4</f>
        <v/>
      </c>
      <c r="I167" s="28">
        <f>IFERROR(INDEX(TankaData[教材費(標準)],MATCH(E167,TankaData[コース],0)),0)</f>
        <v/>
      </c>
      <c r="J167" s="28">
        <f>F167*H167</f>
        <v/>
      </c>
      <c r="K167" s="28">
        <f>J167+I167+ROUND((J167+I167)*0.1,0)</f>
        <v/>
      </c>
      <c r="L167" t="inlineStr">
        <is>
          <t>seito164@example.com</t>
        </is>
      </c>
      <c r="M167" s="44" t="inlineStr">
        <is>
          <t>📧 Gmailを開く</t>
        </is>
      </c>
      <c r="N167" s="45">
        <f>"教室："&amp;C167&amp;"／コース："&amp;E167&amp;"／コマ数："&amp;H167&amp;"コマ／授業料："&amp;TEXT(J167,"#,##0")&amp;"円／教材費："&amp;TEXT(I167,"#,##0")&amp;"円／消費税："&amp;TEXT(ROUND((J167+I167)*0.1,0),"#,##0")&amp;"円／請求額："&amp;TEXT(K167,"#,##0")&amp;"円"</f>
        <v/>
      </c>
      <c r="O167">
        <f>A167&amp;"："&amp;B167</f>
        <v/>
      </c>
    </row>
    <row r="168">
      <c r="A168" s="42">
        <f>ROW()-3</f>
        <v/>
      </c>
      <c r="B168" t="inlineStr">
        <is>
          <t>小野朝陽</t>
        </is>
      </c>
      <c r="C168" s="42" t="inlineStr">
        <is>
          <t>西校</t>
        </is>
      </c>
      <c r="D168" s="42" t="inlineStr">
        <is>
          <t>高3</t>
        </is>
      </c>
      <c r="E168" s="42" t="inlineStr">
        <is>
          <t>映像授業</t>
        </is>
      </c>
      <c r="F168" s="28">
        <f>IFERROR(INDEX(TankaData[1コマ単価],MATCH(E168,TankaData[コース],0)),0)</f>
        <v/>
      </c>
      <c r="G168" s="43" t="n">
        <v>3</v>
      </c>
      <c r="H168" s="29">
        <f>G168*4</f>
        <v/>
      </c>
      <c r="I168" s="28">
        <f>IFERROR(INDEX(TankaData[教材費(標準)],MATCH(E168,TankaData[コース],0)),0)</f>
        <v/>
      </c>
      <c r="J168" s="28">
        <f>F168*H168</f>
        <v/>
      </c>
      <c r="K168" s="28">
        <f>J168+I168+ROUND((J168+I168)*0.1,0)</f>
        <v/>
      </c>
      <c r="L168" t="inlineStr">
        <is>
          <t>seito165@example.com</t>
        </is>
      </c>
      <c r="M168" s="44" t="inlineStr">
        <is>
          <t>📧 Gmailを開く</t>
        </is>
      </c>
      <c r="N168" s="45">
        <f>"教室："&amp;C168&amp;"／コース："&amp;E168&amp;"／コマ数："&amp;H168&amp;"コマ／授業料："&amp;TEXT(J168,"#,##0")&amp;"円／教材費："&amp;TEXT(I168,"#,##0")&amp;"円／消費税："&amp;TEXT(ROUND((J168+I168)*0.1,0),"#,##0")&amp;"円／請求額："&amp;TEXT(K168,"#,##0")&amp;"円"</f>
        <v/>
      </c>
      <c r="O168">
        <f>A168&amp;"："&amp;B168</f>
        <v/>
      </c>
    </row>
    <row r="169">
      <c r="A169" s="42">
        <f>ROW()-3</f>
        <v/>
      </c>
      <c r="B169" t="inlineStr">
        <is>
          <t>山崎紬</t>
        </is>
      </c>
      <c r="C169" s="42" t="inlineStr">
        <is>
          <t>西校</t>
        </is>
      </c>
      <c r="D169" s="42" t="inlineStr">
        <is>
          <t>中3</t>
        </is>
      </c>
      <c r="E169" s="42" t="inlineStr">
        <is>
          <t>映像授業</t>
        </is>
      </c>
      <c r="F169" s="28">
        <f>IFERROR(INDEX(TankaData[1コマ単価],MATCH(E169,TankaData[コース],0)),0)</f>
        <v/>
      </c>
      <c r="G169" s="43" t="n">
        <v>4</v>
      </c>
      <c r="H169" s="29">
        <f>G169*4</f>
        <v/>
      </c>
      <c r="I169" s="28">
        <f>IFERROR(INDEX(TankaData[教材費(標準)],MATCH(E169,TankaData[コース],0)),0)</f>
        <v/>
      </c>
      <c r="J169" s="28">
        <f>F169*H169</f>
        <v/>
      </c>
      <c r="K169" s="28">
        <f>J169+I169+ROUND((J169+I169)*0.1,0)</f>
        <v/>
      </c>
      <c r="L169" t="inlineStr">
        <is>
          <t>seito166@example.com</t>
        </is>
      </c>
      <c r="M169" s="44" t="inlineStr">
        <is>
          <t>📧 Gmailを開く</t>
        </is>
      </c>
      <c r="N169" s="45">
        <f>"教室："&amp;C169&amp;"／コース："&amp;E169&amp;"／コマ数："&amp;H169&amp;"コマ／授業料："&amp;TEXT(J169,"#,##0")&amp;"円／教材費："&amp;TEXT(I169,"#,##0")&amp;"円／消費税："&amp;TEXT(ROUND((J169+I169)*0.1,0),"#,##0")&amp;"円／請求額："&amp;TEXT(K169,"#,##0")&amp;"円"</f>
        <v/>
      </c>
      <c r="O169">
        <f>A169&amp;"："&amp;B169</f>
        <v/>
      </c>
    </row>
    <row r="170">
      <c r="A170" s="42">
        <f>ROW()-3</f>
        <v/>
      </c>
      <c r="B170" t="inlineStr">
        <is>
          <t>岡田葵</t>
        </is>
      </c>
      <c r="C170" s="42" t="inlineStr">
        <is>
          <t>西校</t>
        </is>
      </c>
      <c r="D170" s="42" t="inlineStr">
        <is>
          <t>中3</t>
        </is>
      </c>
      <c r="E170" s="42" t="inlineStr">
        <is>
          <t>個別指導</t>
        </is>
      </c>
      <c r="F170" s="28">
        <f>IFERROR(INDEX(TankaData[1コマ単価],MATCH(E170,TankaData[コース],0)),0)</f>
        <v/>
      </c>
      <c r="G170" s="43" t="n">
        <v>2</v>
      </c>
      <c r="H170" s="29">
        <f>G170*4</f>
        <v/>
      </c>
      <c r="I170" s="28">
        <f>IFERROR(INDEX(TankaData[教材費(標準)],MATCH(E170,TankaData[コース],0)),0)</f>
        <v/>
      </c>
      <c r="J170" s="28">
        <f>F170*H170</f>
        <v/>
      </c>
      <c r="K170" s="28">
        <f>J170+I170+ROUND((J170+I170)*0.1,0)</f>
        <v/>
      </c>
      <c r="L170" t="inlineStr">
        <is>
          <t>seito167@example.com</t>
        </is>
      </c>
      <c r="M170" s="44" t="inlineStr">
        <is>
          <t>📧 Gmailを開く</t>
        </is>
      </c>
      <c r="N170" s="45">
        <f>"教室："&amp;C170&amp;"／コース："&amp;E170&amp;"／コマ数："&amp;H170&amp;"コマ／授業料："&amp;TEXT(J170,"#,##0")&amp;"円／教材費："&amp;TEXT(I170,"#,##0")&amp;"円／消費税："&amp;TEXT(ROUND((J170+I170)*0.1,0),"#,##0")&amp;"円／請求額："&amp;TEXT(K170,"#,##0")&amp;"円"</f>
        <v/>
      </c>
      <c r="O170">
        <f>A170&amp;"："&amp;B170</f>
        <v/>
      </c>
    </row>
    <row r="171">
      <c r="A171" s="42">
        <f>ROW()-3</f>
        <v/>
      </c>
      <c r="B171" t="inlineStr">
        <is>
          <t>田村琴音</t>
        </is>
      </c>
      <c r="C171" s="42" t="inlineStr">
        <is>
          <t>西校</t>
        </is>
      </c>
      <c r="D171" s="42" t="inlineStr">
        <is>
          <t>高1</t>
        </is>
      </c>
      <c r="E171" s="42" t="inlineStr">
        <is>
          <t>個別指導</t>
        </is>
      </c>
      <c r="F171" s="28">
        <f>IFERROR(INDEX(TankaData[1コマ単価],MATCH(E171,TankaData[コース],0)),0)</f>
        <v/>
      </c>
      <c r="G171" s="43" t="n">
        <v>4</v>
      </c>
      <c r="H171" s="29">
        <f>G171*4</f>
        <v/>
      </c>
      <c r="I171" s="28">
        <f>IFERROR(INDEX(TankaData[教材費(標準)],MATCH(E171,TankaData[コース],0)),0)</f>
        <v/>
      </c>
      <c r="J171" s="28">
        <f>F171*H171</f>
        <v/>
      </c>
      <c r="K171" s="28">
        <f>J171+I171+ROUND((J171+I171)*0.1,0)</f>
        <v/>
      </c>
      <c r="L171" t="inlineStr">
        <is>
          <t>seito168@example.com</t>
        </is>
      </c>
      <c r="M171" s="44" t="inlineStr">
        <is>
          <t>📧 Gmailを開く</t>
        </is>
      </c>
      <c r="N171" s="45">
        <f>"教室："&amp;C171&amp;"／コース："&amp;E171&amp;"／コマ数："&amp;H171&amp;"コマ／授業料："&amp;TEXT(J171,"#,##0")&amp;"円／教材費："&amp;TEXT(I171,"#,##0")&amp;"円／消費税："&amp;TEXT(ROUND((J171+I171)*0.1,0),"#,##0")&amp;"円／請求額："&amp;TEXT(K171,"#,##0")&amp;"円"</f>
        <v/>
      </c>
      <c r="O171">
        <f>A171&amp;"："&amp;B171</f>
        <v/>
      </c>
    </row>
    <row r="172">
      <c r="A172" s="42">
        <f>ROW()-3</f>
        <v/>
      </c>
      <c r="B172" t="inlineStr">
        <is>
          <t>竹内楓</t>
        </is>
      </c>
      <c r="C172" s="42" t="inlineStr">
        <is>
          <t>西校</t>
        </is>
      </c>
      <c r="D172" s="42" t="inlineStr">
        <is>
          <t>小4</t>
        </is>
      </c>
      <c r="E172" s="42" t="inlineStr">
        <is>
          <t>集団授業</t>
        </is>
      </c>
      <c r="F172" s="28">
        <f>IFERROR(INDEX(TankaData[1コマ単価],MATCH(E172,TankaData[コース],0)),0)</f>
        <v/>
      </c>
      <c r="G172" s="43" t="n">
        <v>4</v>
      </c>
      <c r="H172" s="29">
        <f>G172*4</f>
        <v/>
      </c>
      <c r="I172" s="28">
        <f>IFERROR(INDEX(TankaData[教材費(標準)],MATCH(E172,TankaData[コース],0)),0)</f>
        <v/>
      </c>
      <c r="J172" s="28">
        <f>F172*H172</f>
        <v/>
      </c>
      <c r="K172" s="28">
        <f>J172+I172+ROUND((J172+I172)*0.1,0)</f>
        <v/>
      </c>
      <c r="L172" t="inlineStr">
        <is>
          <t>seito169@example.com</t>
        </is>
      </c>
      <c r="M172" s="44" t="inlineStr">
        <is>
          <t>📧 Gmailを開く</t>
        </is>
      </c>
      <c r="N172" s="45">
        <f>"教室："&amp;C172&amp;"／コース："&amp;E172&amp;"／コマ数："&amp;H172&amp;"コマ／授業料："&amp;TEXT(J172,"#,##0")&amp;"円／教材費："&amp;TEXT(I172,"#,##0")&amp;"円／消費税："&amp;TEXT(ROUND((J172+I172)*0.1,0),"#,##0")&amp;"円／請求額："&amp;TEXT(K172,"#,##0")&amp;"円"</f>
        <v/>
      </c>
      <c r="O172">
        <f>A172&amp;"："&amp;B172</f>
        <v/>
      </c>
    </row>
    <row r="173">
      <c r="A173" s="42">
        <f>ROW()-3</f>
        <v/>
      </c>
      <c r="B173" t="inlineStr">
        <is>
          <t>藤井遥</t>
        </is>
      </c>
      <c r="C173" s="42" t="inlineStr">
        <is>
          <t>西校</t>
        </is>
      </c>
      <c r="D173" s="42" t="inlineStr">
        <is>
          <t>高1</t>
        </is>
      </c>
      <c r="E173" s="42" t="inlineStr">
        <is>
          <t>映像授業</t>
        </is>
      </c>
      <c r="F173" s="28">
        <f>IFERROR(INDEX(TankaData[1コマ単価],MATCH(E173,TankaData[コース],0)),0)</f>
        <v/>
      </c>
      <c r="G173" s="43" t="n">
        <v>2</v>
      </c>
      <c r="H173" s="29">
        <f>G173*4</f>
        <v/>
      </c>
      <c r="I173" s="28">
        <f>IFERROR(INDEX(TankaData[教材費(標準)],MATCH(E173,TankaData[コース],0)),0)</f>
        <v/>
      </c>
      <c r="J173" s="28">
        <f>F173*H173</f>
        <v/>
      </c>
      <c r="K173" s="28">
        <f>J173+I173+ROUND((J173+I173)*0.1,0)</f>
        <v/>
      </c>
      <c r="L173" t="inlineStr">
        <is>
          <t>seito170@example.com</t>
        </is>
      </c>
      <c r="M173" s="44" t="inlineStr">
        <is>
          <t>📧 Gmailを開く</t>
        </is>
      </c>
      <c r="N173" s="45">
        <f>"教室："&amp;C173&amp;"／コース："&amp;E173&amp;"／コマ数："&amp;H173&amp;"コマ／授業料："&amp;TEXT(J173,"#,##0")&amp;"円／教材費："&amp;TEXT(I173,"#,##0")&amp;"円／消費税："&amp;TEXT(ROUND((J173+I173)*0.1,0),"#,##0")&amp;"円／請求額："&amp;TEXT(K173,"#,##0")&amp;"円"</f>
        <v/>
      </c>
      <c r="O173">
        <f>A173&amp;"："&amp;B173</f>
        <v/>
      </c>
    </row>
    <row r="174">
      <c r="A174" s="42">
        <f>ROW()-3</f>
        <v/>
      </c>
      <c r="B174" t="inlineStr">
        <is>
          <t>長谷川悠真</t>
        </is>
      </c>
      <c r="C174" s="42" t="inlineStr">
        <is>
          <t>西校</t>
        </is>
      </c>
      <c r="D174" s="42" t="inlineStr">
        <is>
          <t>高2</t>
        </is>
      </c>
      <c r="E174" s="42" t="inlineStr">
        <is>
          <t>個別指導S</t>
        </is>
      </c>
      <c r="F174" s="28">
        <f>IFERROR(INDEX(TankaData[1コマ単価],MATCH(E174,TankaData[コース],0)),0)</f>
        <v/>
      </c>
      <c r="G174" s="43" t="n">
        <v>2</v>
      </c>
      <c r="H174" s="29">
        <f>G174*4</f>
        <v/>
      </c>
      <c r="I174" s="28">
        <f>IFERROR(INDEX(TankaData[教材費(標準)],MATCH(E174,TankaData[コース],0)),0)</f>
        <v/>
      </c>
      <c r="J174" s="28">
        <f>F174*H174</f>
        <v/>
      </c>
      <c r="K174" s="28">
        <f>J174+I174+ROUND((J174+I174)*0.1,0)</f>
        <v/>
      </c>
      <c r="L174" t="inlineStr">
        <is>
          <t>seito171@example.com</t>
        </is>
      </c>
      <c r="M174" s="44" t="inlineStr">
        <is>
          <t>📧 Gmailを開く</t>
        </is>
      </c>
      <c r="N174" s="45">
        <f>"教室："&amp;C174&amp;"／コース："&amp;E174&amp;"／コマ数："&amp;H174&amp;"コマ／授業料："&amp;TEXT(J174,"#,##0")&amp;"円／教材費："&amp;TEXT(I174,"#,##0")&amp;"円／消費税："&amp;TEXT(ROUND((J174+I174)*0.1,0),"#,##0")&amp;"円／請求額："&amp;TEXT(K174,"#,##0")&amp;"円"</f>
        <v/>
      </c>
      <c r="O174">
        <f>A174&amp;"："&amp;B174</f>
        <v/>
      </c>
    </row>
    <row r="175">
      <c r="A175" s="42">
        <f>ROW()-3</f>
        <v/>
      </c>
      <c r="B175" t="inlineStr">
        <is>
          <t>林海斗</t>
        </is>
      </c>
      <c r="C175" s="42" t="inlineStr">
        <is>
          <t>西校</t>
        </is>
      </c>
      <c r="D175" s="42" t="inlineStr">
        <is>
          <t>高3</t>
        </is>
      </c>
      <c r="E175" s="42" t="inlineStr">
        <is>
          <t>集団授業</t>
        </is>
      </c>
      <c r="F175" s="28">
        <f>IFERROR(INDEX(TankaData[1コマ単価],MATCH(E175,TankaData[コース],0)),0)</f>
        <v/>
      </c>
      <c r="G175" s="43" t="n">
        <v>1</v>
      </c>
      <c r="H175" s="29">
        <f>G175*4</f>
        <v/>
      </c>
      <c r="I175" s="28">
        <f>IFERROR(INDEX(TankaData[教材費(標準)],MATCH(E175,TankaData[コース],0)),0)</f>
        <v/>
      </c>
      <c r="J175" s="28">
        <f>F175*H175</f>
        <v/>
      </c>
      <c r="K175" s="28">
        <f>J175+I175+ROUND((J175+I175)*0.1,0)</f>
        <v/>
      </c>
      <c r="L175" t="inlineStr">
        <is>
          <t>seito172@example.com</t>
        </is>
      </c>
      <c r="M175" s="44" t="inlineStr">
        <is>
          <t>📧 Gmailを開く</t>
        </is>
      </c>
      <c r="N175" s="45">
        <f>"教室："&amp;C175&amp;"／コース："&amp;E175&amp;"／コマ数："&amp;H175&amp;"コマ／授業料："&amp;TEXT(J175,"#,##0")&amp;"円／教材費："&amp;TEXT(I175,"#,##0")&amp;"円／消費税："&amp;TEXT(ROUND((J175+I175)*0.1,0),"#,##0")&amp;"円／請求額："&amp;TEXT(K175,"#,##0")&amp;"円"</f>
        <v/>
      </c>
      <c r="O175">
        <f>A175&amp;"："&amp;B175</f>
        <v/>
      </c>
    </row>
    <row r="176">
      <c r="A176" s="42">
        <f>ROW()-3</f>
        <v/>
      </c>
      <c r="B176" t="inlineStr">
        <is>
          <t>伊藤萌</t>
        </is>
      </c>
      <c r="C176" s="42" t="inlineStr">
        <is>
          <t>西校</t>
        </is>
      </c>
      <c r="D176" s="42" t="inlineStr">
        <is>
          <t>高2</t>
        </is>
      </c>
      <c r="E176" s="42" t="inlineStr">
        <is>
          <t>個別指導S</t>
        </is>
      </c>
      <c r="F176" s="28">
        <f>IFERROR(INDEX(TankaData[1コマ単価],MATCH(E176,TankaData[コース],0)),0)</f>
        <v/>
      </c>
      <c r="G176" s="43" t="n">
        <v>5</v>
      </c>
      <c r="H176" s="29">
        <f>G176*4</f>
        <v/>
      </c>
      <c r="I176" s="28">
        <f>IFERROR(INDEX(TankaData[教材費(標準)],MATCH(E176,TankaData[コース],0)),0)</f>
        <v/>
      </c>
      <c r="J176" s="28">
        <f>F176*H176</f>
        <v/>
      </c>
      <c r="K176" s="28">
        <f>J176+I176+ROUND((J176+I176)*0.1,0)</f>
        <v/>
      </c>
      <c r="L176" t="inlineStr">
        <is>
          <t>seito173@example.com</t>
        </is>
      </c>
      <c r="M176" s="44" t="inlineStr">
        <is>
          <t>📧 Gmailを開く</t>
        </is>
      </c>
      <c r="N176" s="45">
        <f>"教室："&amp;C176&amp;"／コース："&amp;E176&amp;"／コマ数："&amp;H176&amp;"コマ／授業料："&amp;TEXT(J176,"#,##0")&amp;"円／教材費："&amp;TEXT(I176,"#,##0")&amp;"円／消費税："&amp;TEXT(ROUND((J176+I176)*0.1,0),"#,##0")&amp;"円／請求額："&amp;TEXT(K176,"#,##0")&amp;"円"</f>
        <v/>
      </c>
      <c r="O176">
        <f>A176&amp;"："&amp;B176</f>
        <v/>
      </c>
    </row>
    <row r="177">
      <c r="A177" s="42">
        <f>ROW()-3</f>
        <v/>
      </c>
      <c r="B177" t="inlineStr">
        <is>
          <t>近藤蓮</t>
        </is>
      </c>
      <c r="C177" s="42" t="inlineStr">
        <is>
          <t>西校</t>
        </is>
      </c>
      <c r="D177" s="42" t="inlineStr">
        <is>
          <t>高2</t>
        </is>
      </c>
      <c r="E177" s="42" t="inlineStr">
        <is>
          <t>個別指導S</t>
        </is>
      </c>
      <c r="F177" s="28">
        <f>IFERROR(INDEX(TankaData[1コマ単価],MATCH(E177,TankaData[コース],0)),0)</f>
        <v/>
      </c>
      <c r="G177" s="43" t="n">
        <v>2</v>
      </c>
      <c r="H177" s="29">
        <f>G177*4</f>
        <v/>
      </c>
      <c r="I177" s="28">
        <f>IFERROR(INDEX(TankaData[教材費(標準)],MATCH(E177,TankaData[コース],0)),0)</f>
        <v/>
      </c>
      <c r="J177" s="28">
        <f>F177*H177</f>
        <v/>
      </c>
      <c r="K177" s="28">
        <f>J177+I177+ROUND((J177+I177)*0.1,0)</f>
        <v/>
      </c>
      <c r="L177" t="inlineStr">
        <is>
          <t>seito174@example.com</t>
        </is>
      </c>
      <c r="M177" s="44" t="inlineStr">
        <is>
          <t>📧 Gmailを開く</t>
        </is>
      </c>
      <c r="N177" s="45">
        <f>"教室："&amp;C177&amp;"／コース："&amp;E177&amp;"／コマ数："&amp;H177&amp;"コマ／授業料："&amp;TEXT(J177,"#,##0")&amp;"円／教材費："&amp;TEXT(I177,"#,##0")&amp;"円／消費税："&amp;TEXT(ROUND((J177+I177)*0.1,0),"#,##0")&amp;"円／請求額："&amp;TEXT(K177,"#,##0")&amp;"円"</f>
        <v/>
      </c>
      <c r="O177">
        <f>A177&amp;"："&amp;B177</f>
        <v/>
      </c>
    </row>
    <row r="178">
      <c r="A178" s="42">
        <f>ROW()-3</f>
        <v/>
      </c>
      <c r="B178" t="inlineStr">
        <is>
          <t>井上尊</t>
        </is>
      </c>
      <c r="C178" s="42" t="inlineStr">
        <is>
          <t>西校</t>
        </is>
      </c>
      <c r="D178" s="42" t="inlineStr">
        <is>
          <t>高1</t>
        </is>
      </c>
      <c r="E178" s="42" t="inlineStr">
        <is>
          <t>個別指導</t>
        </is>
      </c>
      <c r="F178" s="28">
        <f>IFERROR(INDEX(TankaData[1コマ単価],MATCH(E178,TankaData[コース],0)),0)</f>
        <v/>
      </c>
      <c r="G178" s="43" t="n">
        <v>1</v>
      </c>
      <c r="H178" s="29">
        <f>G178*4</f>
        <v/>
      </c>
      <c r="I178" s="28">
        <f>IFERROR(INDEX(TankaData[教材費(標準)],MATCH(E178,TankaData[コース],0)),0)</f>
        <v/>
      </c>
      <c r="J178" s="28">
        <f>F178*H178</f>
        <v/>
      </c>
      <c r="K178" s="28">
        <f>J178+I178+ROUND((J178+I178)*0.1,0)</f>
        <v/>
      </c>
      <c r="L178" t="inlineStr">
        <is>
          <t>seito175@example.com</t>
        </is>
      </c>
      <c r="M178" s="44" t="inlineStr">
        <is>
          <t>📧 Gmailを開く</t>
        </is>
      </c>
      <c r="N178" s="45">
        <f>"教室："&amp;C178&amp;"／コース："&amp;E178&amp;"／コマ数："&amp;H178&amp;"コマ／授業料："&amp;TEXT(J178,"#,##0")&amp;"円／教材費："&amp;TEXT(I178,"#,##0")&amp;"円／消費税："&amp;TEXT(ROUND((J178+I178)*0.1,0),"#,##0")&amp;"円／請求額："&amp;TEXT(K178,"#,##0")&amp;"円"</f>
        <v/>
      </c>
      <c r="O178">
        <f>A178&amp;"："&amp;B178</f>
        <v/>
      </c>
    </row>
    <row r="179">
      <c r="A179" s="42">
        <f>ROW()-3</f>
        <v/>
      </c>
      <c r="B179" t="inlineStr">
        <is>
          <t>西村尊</t>
        </is>
      </c>
      <c r="C179" s="42" t="inlineStr">
        <is>
          <t>西校</t>
        </is>
      </c>
      <c r="D179" s="42" t="inlineStr">
        <is>
          <t>高2</t>
        </is>
      </c>
      <c r="E179" s="42" t="inlineStr">
        <is>
          <t>集団授業</t>
        </is>
      </c>
      <c r="F179" s="28">
        <f>IFERROR(INDEX(TankaData[1コマ単価],MATCH(E179,TankaData[コース],0)),0)</f>
        <v/>
      </c>
      <c r="G179" s="43" t="n">
        <v>3</v>
      </c>
      <c r="H179" s="29">
        <f>G179*4</f>
        <v/>
      </c>
      <c r="I179" s="28">
        <f>IFERROR(INDEX(TankaData[教材費(標準)],MATCH(E179,TankaData[コース],0)),0)</f>
        <v/>
      </c>
      <c r="J179" s="28">
        <f>F179*H179</f>
        <v/>
      </c>
      <c r="K179" s="28">
        <f>J179+I179+ROUND((J179+I179)*0.1,0)</f>
        <v/>
      </c>
      <c r="L179" t="inlineStr">
        <is>
          <t>seito176@example.com</t>
        </is>
      </c>
      <c r="M179" s="44" t="inlineStr">
        <is>
          <t>📧 Gmailを開く</t>
        </is>
      </c>
      <c r="N179" s="45">
        <f>"教室："&amp;C179&amp;"／コース："&amp;E179&amp;"／コマ数："&amp;H179&amp;"コマ／授業料："&amp;TEXT(J179,"#,##0")&amp;"円／教材費："&amp;TEXT(I179,"#,##0")&amp;"円／消費税："&amp;TEXT(ROUND((J179+I179)*0.1,0),"#,##0")&amp;"円／請求額："&amp;TEXT(K179,"#,##0")&amp;"円"</f>
        <v/>
      </c>
      <c r="O179">
        <f>A179&amp;"："&amp;B179</f>
        <v/>
      </c>
    </row>
    <row r="180">
      <c r="A180" s="42">
        <f>ROW()-3</f>
        <v/>
      </c>
      <c r="B180" t="inlineStr">
        <is>
          <t>藤井美桜</t>
        </is>
      </c>
      <c r="C180" s="42" t="inlineStr">
        <is>
          <t>西校</t>
        </is>
      </c>
      <c r="D180" s="42" t="inlineStr">
        <is>
          <t>高1</t>
        </is>
      </c>
      <c r="E180" s="42" t="inlineStr">
        <is>
          <t>個別指導S</t>
        </is>
      </c>
      <c r="F180" s="28">
        <f>IFERROR(INDEX(TankaData[1コマ単価],MATCH(E180,TankaData[コース],0)),0)</f>
        <v/>
      </c>
      <c r="G180" s="43" t="n">
        <v>3</v>
      </c>
      <c r="H180" s="29">
        <f>G180*4</f>
        <v/>
      </c>
      <c r="I180" s="28">
        <f>IFERROR(INDEX(TankaData[教材費(標準)],MATCH(E180,TankaData[コース],0)),0)</f>
        <v/>
      </c>
      <c r="J180" s="28">
        <f>F180*H180</f>
        <v/>
      </c>
      <c r="K180" s="28">
        <f>J180+I180+ROUND((J180+I180)*0.1,0)</f>
        <v/>
      </c>
      <c r="L180" t="inlineStr">
        <is>
          <t>seito177@example.com</t>
        </is>
      </c>
      <c r="M180" s="44" t="inlineStr">
        <is>
          <t>📧 Gmailを開く</t>
        </is>
      </c>
      <c r="N180" s="45">
        <f>"教室："&amp;C180&amp;"／コース："&amp;E180&amp;"／コマ数："&amp;H180&amp;"コマ／授業料："&amp;TEXT(J180,"#,##0")&amp;"円／教材費："&amp;TEXT(I180,"#,##0")&amp;"円／消費税："&amp;TEXT(ROUND((J180+I180)*0.1,0),"#,##0")&amp;"円／請求額："&amp;TEXT(K180,"#,##0")&amp;"円"</f>
        <v/>
      </c>
      <c r="O180">
        <f>A180&amp;"："&amp;B180</f>
        <v/>
      </c>
    </row>
    <row r="181">
      <c r="A181" s="42">
        <f>ROW()-3</f>
        <v/>
      </c>
      <c r="B181" t="inlineStr">
        <is>
          <t>山口美桜</t>
        </is>
      </c>
      <c r="C181" s="42" t="inlineStr">
        <is>
          <t>西校</t>
        </is>
      </c>
      <c r="D181" s="42" t="inlineStr">
        <is>
          <t>高3</t>
        </is>
      </c>
      <c r="E181" s="42" t="inlineStr">
        <is>
          <t>映像授業</t>
        </is>
      </c>
      <c r="F181" s="28">
        <f>IFERROR(INDEX(TankaData[1コマ単価],MATCH(E181,TankaData[コース],0)),0)</f>
        <v/>
      </c>
      <c r="G181" s="43" t="n">
        <v>3</v>
      </c>
      <c r="H181" s="29">
        <f>G181*4</f>
        <v/>
      </c>
      <c r="I181" s="28">
        <f>IFERROR(INDEX(TankaData[教材費(標準)],MATCH(E181,TankaData[コース],0)),0)</f>
        <v/>
      </c>
      <c r="J181" s="28">
        <f>F181*H181</f>
        <v/>
      </c>
      <c r="K181" s="28">
        <f>J181+I181+ROUND((J181+I181)*0.1,0)</f>
        <v/>
      </c>
      <c r="L181" t="inlineStr">
        <is>
          <t>seito178@example.com</t>
        </is>
      </c>
      <c r="M181" s="44" t="inlineStr">
        <is>
          <t>📧 Gmailを開く</t>
        </is>
      </c>
      <c r="N181" s="45">
        <f>"教室："&amp;C181&amp;"／コース："&amp;E181&amp;"／コマ数："&amp;H181&amp;"コマ／授業料："&amp;TEXT(J181,"#,##0")&amp;"円／教材費："&amp;TEXT(I181,"#,##0")&amp;"円／消費税："&amp;TEXT(ROUND((J181+I181)*0.1,0),"#,##0")&amp;"円／請求額："&amp;TEXT(K181,"#,##0")&amp;"円"</f>
        <v/>
      </c>
      <c r="O181">
        <f>A181&amp;"："&amp;B181</f>
        <v/>
      </c>
    </row>
    <row r="182">
      <c r="A182" s="42">
        <f>ROW()-3</f>
        <v/>
      </c>
      <c r="B182" t="inlineStr">
        <is>
          <t>竹内花音</t>
        </is>
      </c>
      <c r="C182" s="42" t="inlineStr">
        <is>
          <t>西校</t>
        </is>
      </c>
      <c r="D182" s="42" t="inlineStr">
        <is>
          <t>高2</t>
        </is>
      </c>
      <c r="E182" s="42" t="inlineStr">
        <is>
          <t>個別指導S</t>
        </is>
      </c>
      <c r="F182" s="28">
        <f>IFERROR(INDEX(TankaData[1コマ単価],MATCH(E182,TankaData[コース],0)),0)</f>
        <v/>
      </c>
      <c r="G182" s="43" t="n">
        <v>5</v>
      </c>
      <c r="H182" s="29">
        <f>G182*4</f>
        <v/>
      </c>
      <c r="I182" s="28">
        <f>IFERROR(INDEX(TankaData[教材費(標準)],MATCH(E182,TankaData[コース],0)),0)</f>
        <v/>
      </c>
      <c r="J182" s="28">
        <f>F182*H182</f>
        <v/>
      </c>
      <c r="K182" s="28">
        <f>J182+I182+ROUND((J182+I182)*0.1,0)</f>
        <v/>
      </c>
      <c r="L182" t="inlineStr">
        <is>
          <t>seito179@example.com</t>
        </is>
      </c>
      <c r="M182" s="44" t="inlineStr">
        <is>
          <t>📧 Gmailを開く</t>
        </is>
      </c>
      <c r="N182" s="45">
        <f>"教室："&amp;C182&amp;"／コース："&amp;E182&amp;"／コマ数："&amp;H182&amp;"コマ／授業料："&amp;TEXT(J182,"#,##0")&amp;"円／教材費："&amp;TEXT(I182,"#,##0")&amp;"円／消費税："&amp;TEXT(ROUND((J182+I182)*0.1,0),"#,##0")&amp;"円／請求額："&amp;TEXT(K182,"#,##0")&amp;"円"</f>
        <v/>
      </c>
      <c r="O182">
        <f>A182&amp;"："&amp;B182</f>
        <v/>
      </c>
    </row>
    <row r="183">
      <c r="A183" s="42">
        <f>ROW()-3</f>
        <v/>
      </c>
      <c r="B183" t="inlineStr">
        <is>
          <t>前田葵</t>
        </is>
      </c>
      <c r="C183" s="42" t="inlineStr">
        <is>
          <t>西校</t>
        </is>
      </c>
      <c r="D183" s="42" t="inlineStr">
        <is>
          <t>小5</t>
        </is>
      </c>
      <c r="E183" s="42" t="inlineStr">
        <is>
          <t>個別指導</t>
        </is>
      </c>
      <c r="F183" s="28">
        <f>IFERROR(INDEX(TankaData[1コマ単価],MATCH(E183,TankaData[コース],0)),0)</f>
        <v/>
      </c>
      <c r="G183" s="43" t="n">
        <v>3</v>
      </c>
      <c r="H183" s="29">
        <f>G183*4</f>
        <v/>
      </c>
      <c r="I183" s="28">
        <f>IFERROR(INDEX(TankaData[教材費(標準)],MATCH(E183,TankaData[コース],0)),0)</f>
        <v/>
      </c>
      <c r="J183" s="28">
        <f>F183*H183</f>
        <v/>
      </c>
      <c r="K183" s="28">
        <f>J183+I183+ROUND((J183+I183)*0.1,0)</f>
        <v/>
      </c>
      <c r="L183" t="inlineStr">
        <is>
          <t>seito180@example.com</t>
        </is>
      </c>
      <c r="M183" s="44" t="inlineStr">
        <is>
          <t>📧 Gmailを開く</t>
        </is>
      </c>
      <c r="N183" s="45">
        <f>"教室："&amp;C183&amp;"／コース："&amp;E183&amp;"／コマ数："&amp;H183&amp;"コマ／授業料："&amp;TEXT(J183,"#,##0")&amp;"円／教材費："&amp;TEXT(I183,"#,##0")&amp;"円／消費税："&amp;TEXT(ROUND((J183+I183)*0.1,0),"#,##0")&amp;"円／請求額："&amp;TEXT(K183,"#,##0")&amp;"円"</f>
        <v/>
      </c>
      <c r="O183">
        <f>A183&amp;"："&amp;B183</f>
        <v/>
      </c>
    </row>
    <row r="184">
      <c r="A184" s="46" t="inlineStr">
        <is>
          <t>合計</t>
        </is>
      </c>
      <c r="B184" s="47" t="n"/>
      <c r="C184" s="47" t="n"/>
      <c r="D184" s="47" t="n"/>
      <c r="E184" s="47" t="n"/>
      <c r="F184" s="47" t="n"/>
      <c r="G184" s="47" t="n"/>
      <c r="H184" s="48">
        <f>SUM(SeikyuData[コマ数])</f>
        <v/>
      </c>
      <c r="I184" s="48">
        <f>SUM(SeikyuData[教材費])</f>
        <v/>
      </c>
      <c r="J184" s="48">
        <f>SUM(SeikyuData[授業料])</f>
        <v/>
      </c>
      <c r="K184" s="48">
        <f>SUM(SeikyuData[請求額(税込)])</f>
        <v/>
      </c>
      <c r="L184" s="47" t="n"/>
    </row>
  </sheetData>
  <mergeCells count="3">
    <mergeCell ref="A184:E184"/>
    <mergeCell ref="B1:D1"/>
    <mergeCell ref="A2:N2"/>
  </mergeCells>
  <dataValidations count="1">
    <dataValidation sqref="G4:G183" showDropDown="0" showInputMessage="0" showErrorMessage="1" allowBlank="0" errorTitle="入力エラー" error="週コマ数は1〜7の数字で入力してください。" type="whole" operator="between">
      <formula1>1</formula1>
      <formula2>7</formula2>
    </dataValidation>
  </dataValidations>
  <hyperlinks>
    <hyperlink xmlns:r="http://schemas.openxmlformats.org/officeDocument/2006/relationships" ref="M4" r:id="rId1"/>
    <hyperlink xmlns:r="http://schemas.openxmlformats.org/officeDocument/2006/relationships" ref="M5" r:id="rId2"/>
    <hyperlink xmlns:r="http://schemas.openxmlformats.org/officeDocument/2006/relationships" ref="M6" r:id="rId3"/>
    <hyperlink xmlns:r="http://schemas.openxmlformats.org/officeDocument/2006/relationships" ref="M7" r:id="rId4"/>
    <hyperlink xmlns:r="http://schemas.openxmlformats.org/officeDocument/2006/relationships" ref="M8" r:id="rId5"/>
    <hyperlink xmlns:r="http://schemas.openxmlformats.org/officeDocument/2006/relationships" ref="M9" r:id="rId6"/>
    <hyperlink xmlns:r="http://schemas.openxmlformats.org/officeDocument/2006/relationships" ref="M10" r:id="rId7"/>
    <hyperlink xmlns:r="http://schemas.openxmlformats.org/officeDocument/2006/relationships" ref="M11" r:id="rId8"/>
    <hyperlink xmlns:r="http://schemas.openxmlformats.org/officeDocument/2006/relationships" ref="M12" r:id="rId9"/>
    <hyperlink xmlns:r="http://schemas.openxmlformats.org/officeDocument/2006/relationships" ref="M13" r:id="rId10"/>
    <hyperlink xmlns:r="http://schemas.openxmlformats.org/officeDocument/2006/relationships" ref="M14" r:id="rId11"/>
    <hyperlink xmlns:r="http://schemas.openxmlformats.org/officeDocument/2006/relationships" ref="M15" r:id="rId12"/>
    <hyperlink xmlns:r="http://schemas.openxmlformats.org/officeDocument/2006/relationships" ref="M16" r:id="rId13"/>
    <hyperlink xmlns:r="http://schemas.openxmlformats.org/officeDocument/2006/relationships" ref="M17" r:id="rId14"/>
    <hyperlink xmlns:r="http://schemas.openxmlformats.org/officeDocument/2006/relationships" ref="M18" r:id="rId15"/>
    <hyperlink xmlns:r="http://schemas.openxmlformats.org/officeDocument/2006/relationships" ref="M19" r:id="rId16"/>
    <hyperlink xmlns:r="http://schemas.openxmlformats.org/officeDocument/2006/relationships" ref="M20" r:id="rId17"/>
    <hyperlink xmlns:r="http://schemas.openxmlformats.org/officeDocument/2006/relationships" ref="M21" r:id="rId18"/>
    <hyperlink xmlns:r="http://schemas.openxmlformats.org/officeDocument/2006/relationships" ref="M22" r:id="rId19"/>
    <hyperlink xmlns:r="http://schemas.openxmlformats.org/officeDocument/2006/relationships" ref="M23" r:id="rId20"/>
    <hyperlink xmlns:r="http://schemas.openxmlformats.org/officeDocument/2006/relationships" ref="M24" r:id="rId21"/>
    <hyperlink xmlns:r="http://schemas.openxmlformats.org/officeDocument/2006/relationships" ref="M25" r:id="rId22"/>
    <hyperlink xmlns:r="http://schemas.openxmlformats.org/officeDocument/2006/relationships" ref="M26" r:id="rId23"/>
    <hyperlink xmlns:r="http://schemas.openxmlformats.org/officeDocument/2006/relationships" ref="M27" r:id="rId24"/>
    <hyperlink xmlns:r="http://schemas.openxmlformats.org/officeDocument/2006/relationships" ref="M28" r:id="rId25"/>
    <hyperlink xmlns:r="http://schemas.openxmlformats.org/officeDocument/2006/relationships" ref="M29" r:id="rId26"/>
    <hyperlink xmlns:r="http://schemas.openxmlformats.org/officeDocument/2006/relationships" ref="M30" r:id="rId27"/>
    <hyperlink xmlns:r="http://schemas.openxmlformats.org/officeDocument/2006/relationships" ref="M31" r:id="rId28"/>
    <hyperlink xmlns:r="http://schemas.openxmlformats.org/officeDocument/2006/relationships" ref="M32" r:id="rId29"/>
    <hyperlink xmlns:r="http://schemas.openxmlformats.org/officeDocument/2006/relationships" ref="M33" r:id="rId30"/>
    <hyperlink xmlns:r="http://schemas.openxmlformats.org/officeDocument/2006/relationships" ref="M34" r:id="rId31"/>
    <hyperlink xmlns:r="http://schemas.openxmlformats.org/officeDocument/2006/relationships" ref="M35" r:id="rId32"/>
    <hyperlink xmlns:r="http://schemas.openxmlformats.org/officeDocument/2006/relationships" ref="M36" r:id="rId33"/>
    <hyperlink xmlns:r="http://schemas.openxmlformats.org/officeDocument/2006/relationships" ref="M37" r:id="rId34"/>
    <hyperlink xmlns:r="http://schemas.openxmlformats.org/officeDocument/2006/relationships" ref="M38" r:id="rId35"/>
    <hyperlink xmlns:r="http://schemas.openxmlformats.org/officeDocument/2006/relationships" ref="M39" r:id="rId36"/>
    <hyperlink xmlns:r="http://schemas.openxmlformats.org/officeDocument/2006/relationships" ref="M40" r:id="rId37"/>
    <hyperlink xmlns:r="http://schemas.openxmlformats.org/officeDocument/2006/relationships" ref="M41" r:id="rId38"/>
    <hyperlink xmlns:r="http://schemas.openxmlformats.org/officeDocument/2006/relationships" ref="M42" r:id="rId39"/>
    <hyperlink xmlns:r="http://schemas.openxmlformats.org/officeDocument/2006/relationships" ref="M43" r:id="rId40"/>
    <hyperlink xmlns:r="http://schemas.openxmlformats.org/officeDocument/2006/relationships" ref="M44" r:id="rId41"/>
    <hyperlink xmlns:r="http://schemas.openxmlformats.org/officeDocument/2006/relationships" ref="M45" r:id="rId42"/>
    <hyperlink xmlns:r="http://schemas.openxmlformats.org/officeDocument/2006/relationships" ref="M46" r:id="rId43"/>
    <hyperlink xmlns:r="http://schemas.openxmlformats.org/officeDocument/2006/relationships" ref="M47" r:id="rId44"/>
    <hyperlink xmlns:r="http://schemas.openxmlformats.org/officeDocument/2006/relationships" ref="M48" r:id="rId45"/>
    <hyperlink xmlns:r="http://schemas.openxmlformats.org/officeDocument/2006/relationships" ref="M49" r:id="rId46"/>
    <hyperlink xmlns:r="http://schemas.openxmlformats.org/officeDocument/2006/relationships" ref="M50" r:id="rId47"/>
    <hyperlink xmlns:r="http://schemas.openxmlformats.org/officeDocument/2006/relationships" ref="M51" r:id="rId48"/>
    <hyperlink xmlns:r="http://schemas.openxmlformats.org/officeDocument/2006/relationships" ref="M52" r:id="rId49"/>
    <hyperlink xmlns:r="http://schemas.openxmlformats.org/officeDocument/2006/relationships" ref="M53" r:id="rId50"/>
    <hyperlink xmlns:r="http://schemas.openxmlformats.org/officeDocument/2006/relationships" ref="M54" r:id="rId51"/>
    <hyperlink xmlns:r="http://schemas.openxmlformats.org/officeDocument/2006/relationships" ref="M55" r:id="rId52"/>
    <hyperlink xmlns:r="http://schemas.openxmlformats.org/officeDocument/2006/relationships" ref="M56" r:id="rId53"/>
    <hyperlink xmlns:r="http://schemas.openxmlformats.org/officeDocument/2006/relationships" ref="M57" r:id="rId54"/>
    <hyperlink xmlns:r="http://schemas.openxmlformats.org/officeDocument/2006/relationships" ref="M58" r:id="rId55"/>
    <hyperlink xmlns:r="http://schemas.openxmlformats.org/officeDocument/2006/relationships" ref="M59" r:id="rId56"/>
    <hyperlink xmlns:r="http://schemas.openxmlformats.org/officeDocument/2006/relationships" ref="M60" r:id="rId57"/>
    <hyperlink xmlns:r="http://schemas.openxmlformats.org/officeDocument/2006/relationships" ref="M61" r:id="rId58"/>
    <hyperlink xmlns:r="http://schemas.openxmlformats.org/officeDocument/2006/relationships" ref="M62" r:id="rId59"/>
    <hyperlink xmlns:r="http://schemas.openxmlformats.org/officeDocument/2006/relationships" ref="M63" r:id="rId60"/>
    <hyperlink xmlns:r="http://schemas.openxmlformats.org/officeDocument/2006/relationships" ref="M64" r:id="rId61"/>
    <hyperlink xmlns:r="http://schemas.openxmlformats.org/officeDocument/2006/relationships" ref="M65" r:id="rId62"/>
    <hyperlink xmlns:r="http://schemas.openxmlformats.org/officeDocument/2006/relationships" ref="M66" r:id="rId63"/>
    <hyperlink xmlns:r="http://schemas.openxmlformats.org/officeDocument/2006/relationships" ref="M67" r:id="rId64"/>
    <hyperlink xmlns:r="http://schemas.openxmlformats.org/officeDocument/2006/relationships" ref="M68" r:id="rId65"/>
    <hyperlink xmlns:r="http://schemas.openxmlformats.org/officeDocument/2006/relationships" ref="M69" r:id="rId66"/>
    <hyperlink xmlns:r="http://schemas.openxmlformats.org/officeDocument/2006/relationships" ref="M70" r:id="rId67"/>
    <hyperlink xmlns:r="http://schemas.openxmlformats.org/officeDocument/2006/relationships" ref="M71" r:id="rId68"/>
    <hyperlink xmlns:r="http://schemas.openxmlformats.org/officeDocument/2006/relationships" ref="M72" r:id="rId69"/>
    <hyperlink xmlns:r="http://schemas.openxmlformats.org/officeDocument/2006/relationships" ref="M73" r:id="rId70"/>
    <hyperlink xmlns:r="http://schemas.openxmlformats.org/officeDocument/2006/relationships" ref="M74" r:id="rId71"/>
    <hyperlink xmlns:r="http://schemas.openxmlformats.org/officeDocument/2006/relationships" ref="M75" r:id="rId72"/>
    <hyperlink xmlns:r="http://schemas.openxmlformats.org/officeDocument/2006/relationships" ref="M76" r:id="rId73"/>
    <hyperlink xmlns:r="http://schemas.openxmlformats.org/officeDocument/2006/relationships" ref="M77" r:id="rId74"/>
    <hyperlink xmlns:r="http://schemas.openxmlformats.org/officeDocument/2006/relationships" ref="M78" r:id="rId75"/>
    <hyperlink xmlns:r="http://schemas.openxmlformats.org/officeDocument/2006/relationships" ref="M79" r:id="rId76"/>
    <hyperlink xmlns:r="http://schemas.openxmlformats.org/officeDocument/2006/relationships" ref="M80" r:id="rId77"/>
    <hyperlink xmlns:r="http://schemas.openxmlformats.org/officeDocument/2006/relationships" ref="M81" r:id="rId78"/>
    <hyperlink xmlns:r="http://schemas.openxmlformats.org/officeDocument/2006/relationships" ref="M82" r:id="rId79"/>
    <hyperlink xmlns:r="http://schemas.openxmlformats.org/officeDocument/2006/relationships" ref="M83" r:id="rId80"/>
    <hyperlink xmlns:r="http://schemas.openxmlformats.org/officeDocument/2006/relationships" ref="M84" r:id="rId81"/>
    <hyperlink xmlns:r="http://schemas.openxmlformats.org/officeDocument/2006/relationships" ref="M85" r:id="rId82"/>
    <hyperlink xmlns:r="http://schemas.openxmlformats.org/officeDocument/2006/relationships" ref="M86" r:id="rId83"/>
    <hyperlink xmlns:r="http://schemas.openxmlformats.org/officeDocument/2006/relationships" ref="M87" r:id="rId84"/>
    <hyperlink xmlns:r="http://schemas.openxmlformats.org/officeDocument/2006/relationships" ref="M88" r:id="rId85"/>
    <hyperlink xmlns:r="http://schemas.openxmlformats.org/officeDocument/2006/relationships" ref="M89" r:id="rId86"/>
    <hyperlink xmlns:r="http://schemas.openxmlformats.org/officeDocument/2006/relationships" ref="M90" r:id="rId87"/>
    <hyperlink xmlns:r="http://schemas.openxmlformats.org/officeDocument/2006/relationships" ref="M91" r:id="rId88"/>
    <hyperlink xmlns:r="http://schemas.openxmlformats.org/officeDocument/2006/relationships" ref="M92" r:id="rId89"/>
    <hyperlink xmlns:r="http://schemas.openxmlformats.org/officeDocument/2006/relationships" ref="M93" r:id="rId90"/>
    <hyperlink xmlns:r="http://schemas.openxmlformats.org/officeDocument/2006/relationships" ref="M94" r:id="rId91"/>
    <hyperlink xmlns:r="http://schemas.openxmlformats.org/officeDocument/2006/relationships" ref="M95" r:id="rId92"/>
    <hyperlink xmlns:r="http://schemas.openxmlformats.org/officeDocument/2006/relationships" ref="M96" r:id="rId93"/>
    <hyperlink xmlns:r="http://schemas.openxmlformats.org/officeDocument/2006/relationships" ref="M97" r:id="rId94"/>
    <hyperlink xmlns:r="http://schemas.openxmlformats.org/officeDocument/2006/relationships" ref="M98" r:id="rId95"/>
    <hyperlink xmlns:r="http://schemas.openxmlformats.org/officeDocument/2006/relationships" ref="M99" r:id="rId96"/>
    <hyperlink xmlns:r="http://schemas.openxmlformats.org/officeDocument/2006/relationships" ref="M100" r:id="rId97"/>
    <hyperlink xmlns:r="http://schemas.openxmlformats.org/officeDocument/2006/relationships" ref="M101" r:id="rId98"/>
    <hyperlink xmlns:r="http://schemas.openxmlformats.org/officeDocument/2006/relationships" ref="M102" r:id="rId99"/>
    <hyperlink xmlns:r="http://schemas.openxmlformats.org/officeDocument/2006/relationships" ref="M103" r:id="rId100"/>
    <hyperlink xmlns:r="http://schemas.openxmlformats.org/officeDocument/2006/relationships" ref="M104" r:id="rId101"/>
    <hyperlink xmlns:r="http://schemas.openxmlformats.org/officeDocument/2006/relationships" ref="M105" r:id="rId102"/>
    <hyperlink xmlns:r="http://schemas.openxmlformats.org/officeDocument/2006/relationships" ref="M106" r:id="rId103"/>
    <hyperlink xmlns:r="http://schemas.openxmlformats.org/officeDocument/2006/relationships" ref="M107" r:id="rId104"/>
    <hyperlink xmlns:r="http://schemas.openxmlformats.org/officeDocument/2006/relationships" ref="M108" r:id="rId105"/>
    <hyperlink xmlns:r="http://schemas.openxmlformats.org/officeDocument/2006/relationships" ref="M109" r:id="rId106"/>
    <hyperlink xmlns:r="http://schemas.openxmlformats.org/officeDocument/2006/relationships" ref="M110" r:id="rId107"/>
    <hyperlink xmlns:r="http://schemas.openxmlformats.org/officeDocument/2006/relationships" ref="M111" r:id="rId108"/>
    <hyperlink xmlns:r="http://schemas.openxmlformats.org/officeDocument/2006/relationships" ref="M112" r:id="rId109"/>
    <hyperlink xmlns:r="http://schemas.openxmlformats.org/officeDocument/2006/relationships" ref="M113" r:id="rId110"/>
    <hyperlink xmlns:r="http://schemas.openxmlformats.org/officeDocument/2006/relationships" ref="M114" r:id="rId111"/>
    <hyperlink xmlns:r="http://schemas.openxmlformats.org/officeDocument/2006/relationships" ref="M115" r:id="rId112"/>
    <hyperlink xmlns:r="http://schemas.openxmlformats.org/officeDocument/2006/relationships" ref="M116" r:id="rId113"/>
    <hyperlink xmlns:r="http://schemas.openxmlformats.org/officeDocument/2006/relationships" ref="M117" r:id="rId114"/>
    <hyperlink xmlns:r="http://schemas.openxmlformats.org/officeDocument/2006/relationships" ref="M118" r:id="rId115"/>
    <hyperlink xmlns:r="http://schemas.openxmlformats.org/officeDocument/2006/relationships" ref="M119" r:id="rId116"/>
    <hyperlink xmlns:r="http://schemas.openxmlformats.org/officeDocument/2006/relationships" ref="M120" r:id="rId117"/>
    <hyperlink xmlns:r="http://schemas.openxmlformats.org/officeDocument/2006/relationships" ref="M121" r:id="rId118"/>
    <hyperlink xmlns:r="http://schemas.openxmlformats.org/officeDocument/2006/relationships" ref="M122" r:id="rId119"/>
    <hyperlink xmlns:r="http://schemas.openxmlformats.org/officeDocument/2006/relationships" ref="M123" r:id="rId120"/>
    <hyperlink xmlns:r="http://schemas.openxmlformats.org/officeDocument/2006/relationships" ref="M124" r:id="rId121"/>
    <hyperlink xmlns:r="http://schemas.openxmlformats.org/officeDocument/2006/relationships" ref="M125" r:id="rId122"/>
    <hyperlink xmlns:r="http://schemas.openxmlformats.org/officeDocument/2006/relationships" ref="M126" r:id="rId123"/>
    <hyperlink xmlns:r="http://schemas.openxmlformats.org/officeDocument/2006/relationships" ref="M127" r:id="rId124"/>
    <hyperlink xmlns:r="http://schemas.openxmlformats.org/officeDocument/2006/relationships" ref="M128" r:id="rId125"/>
    <hyperlink xmlns:r="http://schemas.openxmlformats.org/officeDocument/2006/relationships" ref="M129" r:id="rId126"/>
    <hyperlink xmlns:r="http://schemas.openxmlformats.org/officeDocument/2006/relationships" ref="M130" r:id="rId127"/>
    <hyperlink xmlns:r="http://schemas.openxmlformats.org/officeDocument/2006/relationships" ref="M131" r:id="rId128"/>
    <hyperlink xmlns:r="http://schemas.openxmlformats.org/officeDocument/2006/relationships" ref="M132" r:id="rId129"/>
    <hyperlink xmlns:r="http://schemas.openxmlformats.org/officeDocument/2006/relationships" ref="M133" r:id="rId130"/>
    <hyperlink xmlns:r="http://schemas.openxmlformats.org/officeDocument/2006/relationships" ref="M134" r:id="rId131"/>
    <hyperlink xmlns:r="http://schemas.openxmlformats.org/officeDocument/2006/relationships" ref="M135" r:id="rId132"/>
    <hyperlink xmlns:r="http://schemas.openxmlformats.org/officeDocument/2006/relationships" ref="M136" r:id="rId133"/>
    <hyperlink xmlns:r="http://schemas.openxmlformats.org/officeDocument/2006/relationships" ref="M137" r:id="rId134"/>
    <hyperlink xmlns:r="http://schemas.openxmlformats.org/officeDocument/2006/relationships" ref="M138" r:id="rId135"/>
    <hyperlink xmlns:r="http://schemas.openxmlformats.org/officeDocument/2006/relationships" ref="M139" r:id="rId136"/>
    <hyperlink xmlns:r="http://schemas.openxmlformats.org/officeDocument/2006/relationships" ref="M140" r:id="rId137"/>
    <hyperlink xmlns:r="http://schemas.openxmlformats.org/officeDocument/2006/relationships" ref="M141" r:id="rId138"/>
    <hyperlink xmlns:r="http://schemas.openxmlformats.org/officeDocument/2006/relationships" ref="M142" r:id="rId139"/>
    <hyperlink xmlns:r="http://schemas.openxmlformats.org/officeDocument/2006/relationships" ref="M143" r:id="rId140"/>
    <hyperlink xmlns:r="http://schemas.openxmlformats.org/officeDocument/2006/relationships" ref="M144" r:id="rId141"/>
    <hyperlink xmlns:r="http://schemas.openxmlformats.org/officeDocument/2006/relationships" ref="M145" r:id="rId142"/>
    <hyperlink xmlns:r="http://schemas.openxmlformats.org/officeDocument/2006/relationships" ref="M146" r:id="rId143"/>
    <hyperlink xmlns:r="http://schemas.openxmlformats.org/officeDocument/2006/relationships" ref="M147" r:id="rId144"/>
    <hyperlink xmlns:r="http://schemas.openxmlformats.org/officeDocument/2006/relationships" ref="M148" r:id="rId145"/>
    <hyperlink xmlns:r="http://schemas.openxmlformats.org/officeDocument/2006/relationships" ref="M149" r:id="rId146"/>
    <hyperlink xmlns:r="http://schemas.openxmlformats.org/officeDocument/2006/relationships" ref="M150" r:id="rId147"/>
    <hyperlink xmlns:r="http://schemas.openxmlformats.org/officeDocument/2006/relationships" ref="M151" r:id="rId148"/>
    <hyperlink xmlns:r="http://schemas.openxmlformats.org/officeDocument/2006/relationships" ref="M152" r:id="rId149"/>
    <hyperlink xmlns:r="http://schemas.openxmlformats.org/officeDocument/2006/relationships" ref="M153" r:id="rId150"/>
    <hyperlink xmlns:r="http://schemas.openxmlformats.org/officeDocument/2006/relationships" ref="M154" r:id="rId151"/>
    <hyperlink xmlns:r="http://schemas.openxmlformats.org/officeDocument/2006/relationships" ref="M155" r:id="rId152"/>
    <hyperlink xmlns:r="http://schemas.openxmlformats.org/officeDocument/2006/relationships" ref="M156" r:id="rId153"/>
    <hyperlink xmlns:r="http://schemas.openxmlformats.org/officeDocument/2006/relationships" ref="M157" r:id="rId154"/>
    <hyperlink xmlns:r="http://schemas.openxmlformats.org/officeDocument/2006/relationships" ref="M158" r:id="rId155"/>
    <hyperlink xmlns:r="http://schemas.openxmlformats.org/officeDocument/2006/relationships" ref="M159" r:id="rId156"/>
    <hyperlink xmlns:r="http://schemas.openxmlformats.org/officeDocument/2006/relationships" ref="M160" r:id="rId157"/>
    <hyperlink xmlns:r="http://schemas.openxmlformats.org/officeDocument/2006/relationships" ref="M161" r:id="rId158"/>
    <hyperlink xmlns:r="http://schemas.openxmlformats.org/officeDocument/2006/relationships" ref="M162" r:id="rId159"/>
    <hyperlink xmlns:r="http://schemas.openxmlformats.org/officeDocument/2006/relationships" ref="M163" r:id="rId160"/>
    <hyperlink xmlns:r="http://schemas.openxmlformats.org/officeDocument/2006/relationships" ref="M164" r:id="rId161"/>
    <hyperlink xmlns:r="http://schemas.openxmlformats.org/officeDocument/2006/relationships" ref="M165" r:id="rId162"/>
    <hyperlink xmlns:r="http://schemas.openxmlformats.org/officeDocument/2006/relationships" ref="M166" r:id="rId163"/>
    <hyperlink xmlns:r="http://schemas.openxmlformats.org/officeDocument/2006/relationships" ref="M167" r:id="rId164"/>
    <hyperlink xmlns:r="http://schemas.openxmlformats.org/officeDocument/2006/relationships" ref="M168" r:id="rId165"/>
    <hyperlink xmlns:r="http://schemas.openxmlformats.org/officeDocument/2006/relationships" ref="M169" r:id="rId166"/>
    <hyperlink xmlns:r="http://schemas.openxmlformats.org/officeDocument/2006/relationships" ref="M170" r:id="rId167"/>
    <hyperlink xmlns:r="http://schemas.openxmlformats.org/officeDocument/2006/relationships" ref="M171" r:id="rId168"/>
    <hyperlink xmlns:r="http://schemas.openxmlformats.org/officeDocument/2006/relationships" ref="M172" r:id="rId169"/>
    <hyperlink xmlns:r="http://schemas.openxmlformats.org/officeDocument/2006/relationships" ref="M173" r:id="rId170"/>
    <hyperlink xmlns:r="http://schemas.openxmlformats.org/officeDocument/2006/relationships" ref="M174" r:id="rId171"/>
    <hyperlink xmlns:r="http://schemas.openxmlformats.org/officeDocument/2006/relationships" ref="M175" r:id="rId172"/>
    <hyperlink xmlns:r="http://schemas.openxmlformats.org/officeDocument/2006/relationships" ref="M176" r:id="rId173"/>
    <hyperlink xmlns:r="http://schemas.openxmlformats.org/officeDocument/2006/relationships" ref="M177" r:id="rId174"/>
    <hyperlink xmlns:r="http://schemas.openxmlformats.org/officeDocument/2006/relationships" ref="M178" r:id="rId175"/>
    <hyperlink xmlns:r="http://schemas.openxmlformats.org/officeDocument/2006/relationships" ref="M179" r:id="rId176"/>
    <hyperlink xmlns:r="http://schemas.openxmlformats.org/officeDocument/2006/relationships" ref="M180" r:id="rId177"/>
    <hyperlink xmlns:r="http://schemas.openxmlformats.org/officeDocument/2006/relationships" ref="M181" r:id="rId178"/>
    <hyperlink xmlns:r="http://schemas.openxmlformats.org/officeDocument/2006/relationships" ref="M182" r:id="rId179"/>
    <hyperlink xmlns:r="http://schemas.openxmlformats.org/officeDocument/2006/relationships" ref="M183" r:id="rId180"/>
  </hyperlinks>
  <pageMargins left="0.75" right="0.75" top="1" bottom="1" header="0.5" footer="0.5"/>
  <legacyDrawing xmlns:r="http://schemas.openxmlformats.org/officeDocument/2006/relationships" r:id="anysvml"/>
  <tableParts count="1">
    <tablePart xmlns:r="http://schemas.openxmlformats.org/officeDocument/2006/relationships" r:id="rId18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2026-08-18T15:26:35Z</dcterms:created>
  <dcterms:modified xsi:type="dcterms:W3CDTF">2026-08-18T15:26:35Z</dcterms:modified>
</cp:coreProperties>
</file>